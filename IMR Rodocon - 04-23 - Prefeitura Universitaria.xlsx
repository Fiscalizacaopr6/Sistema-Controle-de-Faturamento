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/>
  <bookViews>
    <workbookView visibility="visible" minimized="0" showHorizontalScroll="1" showVerticalScroll="1" showSheetTabs="1" tabRatio="600" firstSheet="0" activeTab="0" autoFilterDateGrouping="1"/>
  </bookViews>
  <sheets>
    <sheet name="OUT-26" sheetId="1" state="visible" r:id="rId1"/>
    <sheet name="NOV-26" sheetId="2" state="visible" r:id="rId2"/>
    <sheet name="DEZ-26" sheetId="3" state="visible" r:id="rId3"/>
    <sheet name="JAN-27" sheetId="4" state="visible" r:id="rId4"/>
    <sheet name="FEV-27" sheetId="5" state="visible" r:id="rId5"/>
    <sheet name="MAR-27" sheetId="6" state="visible" r:id="rId6"/>
    <sheet name="ABR-27" sheetId="7" state="visible" r:id="rId7"/>
    <sheet name="MAI-27" sheetId="8" state="visible" r:id="rId8"/>
    <sheet name="JUN-27" sheetId="9" state="visible" r:id="rId9"/>
    <sheet name="JUL-27" sheetId="10" state="visible" r:id="rId10"/>
    <sheet name="AGO-27" sheetId="11" state="visible" r:id="rId11"/>
    <sheet name="SET-27" sheetId="12" state="visible" r:id="rId12"/>
    <sheet name="OUT-27" sheetId="13" state="visible" r:id="rId13"/>
    <sheet name="NOV-27" sheetId="14" state="visible" r:id="rId14"/>
    <sheet name="DEZ-27" sheetId="15" state="visible" r:id="rId15"/>
    <sheet name="JAN-28" sheetId="16" state="visible" r:id="rId16"/>
    <sheet name="FEV-28" sheetId="17" state="visible" r:id="rId17"/>
    <sheet name="MAR-28" sheetId="18" state="visible" r:id="rId18"/>
    <sheet name="ABR-28" sheetId="19" state="visible" r:id="rId19"/>
    <sheet name="MAI-28" sheetId="20" state="visible" r:id="rId20"/>
    <sheet name="JUN-28" sheetId="21" state="visible" r:id="rId21"/>
    <sheet name="JUL-28" sheetId="22" state="visible" r:id="rId22"/>
    <sheet name="AGO-28" sheetId="23" state="visible" r:id="rId23"/>
    <sheet name="SET-28" sheetId="24" state="visible" r:id="rId24"/>
    <sheet name="Resumo" sheetId="25" state="visible" r:id="rId25"/>
    <sheet name="Parâmetros" sheetId="26" state="visible" r:id="rId26"/>
  </sheets>
  <definedNames>
    <definedName name="_xlnm.Print_Area" localSheetId="0">'OUT-26'!$A$1:$I$64</definedName>
    <definedName name="_xlnm.Print_Area" localSheetId="1">'NOV-26'!$A$1:$I$64</definedName>
    <definedName name="_xlnm.Print_Area" localSheetId="2">'DEZ-26'!$A$1:$I$64</definedName>
    <definedName name="_xlnm.Print_Area" localSheetId="3">'JAN-27'!$A$1:$I$64</definedName>
    <definedName name="_xlnm.Print_Area" localSheetId="4">'FEV-27'!$A$1:$I$64</definedName>
    <definedName name="_xlnm.Print_Area" localSheetId="5">'MAR-27'!$A$1:$I$64</definedName>
    <definedName name="_xlnm.Print_Area" localSheetId="6">'ABR-27'!$A$1:$I$64</definedName>
    <definedName name="_xlnm.Print_Area" localSheetId="7">'MAI-27'!$A$1:$I$64</definedName>
    <definedName name="_xlnm.Print_Area" localSheetId="8">'JUN-27'!$A$1:$I$64</definedName>
    <definedName name="_xlnm.Print_Area" localSheetId="9">'JUL-27'!$A$1:$I$64</definedName>
    <definedName name="_xlnm.Print_Area" localSheetId="10">'AGO-27'!$A$1:$I$64</definedName>
    <definedName name="_xlnm.Print_Area" localSheetId="11">'SET-27'!$A$1:$I$64</definedName>
    <definedName name="_xlnm.Print_Area" localSheetId="12">'OUT-27'!$A$1:$I$64</definedName>
    <definedName name="_xlnm.Print_Area" localSheetId="13">'NOV-27'!$A$1:$I$64</definedName>
    <definedName name="_xlnm.Print_Area" localSheetId="14">'DEZ-27'!$A$1:$I$64</definedName>
    <definedName name="_xlnm.Print_Area" localSheetId="15">'JAN-28'!$A$1:$I$64</definedName>
    <definedName name="_xlnm.Print_Area" localSheetId="16">'FEV-28'!$A$1:$I$64</definedName>
    <definedName name="_xlnm.Print_Area" localSheetId="17">'MAR-28'!$A$1:$I$64</definedName>
    <definedName name="_xlnm.Print_Area" localSheetId="18">'ABR-28'!$A$1:$I$64</definedName>
    <definedName name="_xlnm.Print_Area" localSheetId="19">'MAI-28'!$A$1:$I$64</definedName>
    <definedName name="_xlnm.Print_Area" localSheetId="20">'JUN-28'!$A$1:$I$64</definedName>
    <definedName name="_xlnm.Print_Area" localSheetId="21">'JUL-28'!$A$1:$I$64</definedName>
    <definedName name="_xlnm.Print_Area" localSheetId="22">'AGO-28'!$A$1:$I$64</definedName>
    <definedName name="_xlnm.Print_Area" localSheetId="23">'SET-28'!$A$1:$I$64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0000000"/>
    <numFmt numFmtId="166" formatCode="&quot;R$&quot; #,##0.00;[Red]-&quot;R$&quot; #,##0.00"/>
    <numFmt numFmtId="167" formatCode="yyyy-mm-dd"/>
    <numFmt numFmtId="168" formatCode="mmmm/yyyy"/>
    <numFmt numFmtId="169" formatCode="&quot;R$&quot; #,##0.0000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name val="Arial"/>
      <i val="1"/>
      <color rgb="00777777"/>
      <sz val="8"/>
    </font>
    <font>
      <name val="Arial"/>
      <b val="1"/>
      <color rgb="00FFFFFF"/>
      <sz val="12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1F3864"/>
      <sz val="8"/>
    </font>
    <font>
      <name val="Arial"/>
      <b val="1"/>
      <color rgb="001F3864"/>
      <sz val="11"/>
    </font>
    <font>
      <name val="Arial"/>
      <b val="1"/>
      <color rgb="00B71C1C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556B2F"/>
      </patternFill>
    </fill>
    <fill>
      <patternFill patternType="solid">
        <fgColor rgb="00EEF4E0"/>
      </patternFill>
    </fill>
  </fills>
  <borders count="5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/>
      <right/>
      <top style="thin">
        <color rgb="00B7C3D9"/>
      </top>
      <bottom/>
      <diagonal/>
    </border>
    <border>
      <left/>
      <right style="thin">
        <color rgb="00B7C3D9"/>
      </right>
      <top style="thin">
        <color rgb="00B7C3D9"/>
      </top>
      <bottom/>
      <diagonal/>
    </border>
    <border>
      <left/>
      <right style="thin">
        <color rgb="00B7C3D9"/>
      </right>
      <top style="thin">
        <color rgb="00B7C3D9"/>
      </top>
      <bottom style="thin">
        <color rgb="00B7C3D9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8" fontId="3" fillId="0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applyProtection="1" pivotButton="0" quotePrefix="0" xfId="0">
      <alignment horizontal="center" vertical="center" wrapText="1"/>
      <protection locked="0" hidden="0"/>
    </xf>
    <xf numFmtId="3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3" fontId="3" fillId="4" borderId="1" applyAlignment="1" applyProtection="1" pivotButton="0" quotePrefix="0" xfId="0">
      <alignment horizontal="center" vertical="center" wrapText="1"/>
      <protection locked="0" hidden="0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166" fontId="2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/>
    </xf>
    <xf numFmtId="166" fontId="6" fillId="4" borderId="1" applyAlignment="1" applyProtection="1" pivotButton="0" quotePrefix="0" xfId="0">
      <alignment horizontal="right" vertical="center"/>
      <protection locked="0" hidden="0"/>
    </xf>
    <xf numFmtId="3" fontId="6" fillId="4" borderId="1" applyAlignment="1" applyProtection="1" pivotButton="0" quotePrefix="0" xfId="0">
      <alignment horizontal="right" vertical="center"/>
      <protection locked="0" hidden="0"/>
    </xf>
    <xf numFmtId="9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6" fontId="9" fillId="3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64" fontId="3" fillId="9" borderId="1" applyAlignment="1" pivotButton="0" quotePrefix="0" xfId="0">
      <alignment horizontal="center" vertical="center" wrapText="1"/>
    </xf>
    <xf numFmtId="169" fontId="6" fillId="9" borderId="1" applyAlignment="1" pivotButton="0" quotePrefix="0" xfId="0">
      <alignment horizontal="center" vertical="center" wrapText="1"/>
    </xf>
    <xf numFmtId="0" fontId="2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pivotButton="0" quotePrefix="0" xfId="0"/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applyProtection="1" pivotButton="0" quotePrefix="0" xfId="0">
      <alignment horizontal="center" vertical="center" wrapText="1"/>
      <protection locked="0" hidden="0"/>
    </xf>
    <xf numFmtId="2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E0B2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 t="inlineStr">
        <is>
          <t>01</t>
        </is>
      </c>
    </row>
    <row r="3">
      <c r="A3" s="5" t="inlineStr">
        <is>
          <t>OBJETO</t>
        </is>
      </c>
      <c r="B3" s="6" t="inlineStr">
        <is>
          <t>Serviço de manutenção de áreas externas e verdes no Campus Cidade Universitária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 t="inlineStr">
        <is>
          <t>RODOCON CONSTRUÇÕES RODOVIÁRIAS LTDA.</t>
        </is>
      </c>
      <c r="C4" s="7" t="n"/>
      <c r="D4" s="7" t="n"/>
      <c r="E4" s="7" t="n"/>
      <c r="F4" s="5" t="inlineStr">
        <is>
          <t>CONTRATO</t>
        </is>
      </c>
      <c r="G4" s="6" t="inlineStr">
        <is>
          <t>04/2023</t>
        </is>
      </c>
      <c r="H4" s="7" t="n"/>
      <c r="I4" s="7" t="n"/>
    </row>
    <row r="5">
      <c r="A5" s="5" t="inlineStr">
        <is>
          <t>UNIDADE</t>
        </is>
      </c>
      <c r="B5" s="6" t="inlineStr">
        <is>
          <t>PREFEITURA UNIVERSITÁRIA</t>
        </is>
      </c>
      <c r="C5" s="7" t="n"/>
      <c r="D5" s="7" t="n"/>
      <c r="E5" s="7" t="n"/>
      <c r="F5" s="5" t="inlineStr">
        <is>
          <t>TERMO</t>
        </is>
      </c>
      <c r="G5" s="6" t="inlineStr">
        <is>
          <t>TERMO ADITIVO N° 06/26</t>
        </is>
      </c>
      <c r="H5" s="7" t="n"/>
      <c r="I5" s="7" t="n"/>
    </row>
    <row r="6">
      <c r="A6" s="5" t="inlineStr">
        <is>
          <t>MÊS/ANO</t>
        </is>
      </c>
      <c r="B6" s="8" t="n">
        <v>46296</v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 t="inlineStr">
        <is>
          <t>Paisagista</t>
        </is>
      </c>
      <c r="B25" s="7" t="n"/>
      <c r="C25" s="23" t="n">
        <v>2</v>
      </c>
      <c r="D25" s="24" t="n">
        <v>9105.67</v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 t="inlineStr">
        <is>
          <t>Encarregado Geral</t>
        </is>
      </c>
      <c r="B26" s="7" t="n"/>
      <c r="C26" s="23" t="n">
        <v>1</v>
      </c>
      <c r="D26" s="24" t="n">
        <v>4780.4</v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 t="inlineStr">
        <is>
          <t>Operador Motosserra</t>
        </is>
      </c>
      <c r="B27" s="7" t="n"/>
      <c r="C27" s="23" t="n">
        <v>2</v>
      </c>
      <c r="D27" s="24" t="n">
        <v>5655.86</v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 t="inlineStr">
        <is>
          <t>Servente</t>
        </is>
      </c>
      <c r="B28" s="7" t="n"/>
      <c r="C28" s="23" t="n">
        <v>3</v>
      </c>
      <c r="D28" s="24" t="n">
        <v>4116.24</v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 t="inlineStr">
        <is>
          <t>Arboricultor</t>
        </is>
      </c>
      <c r="B29" s="7" t="n"/>
      <c r="C29" s="23" t="n">
        <v>1</v>
      </c>
      <c r="D29" s="24" t="n">
        <v>9243.629999999999</v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 t="inlineStr">
        <is>
          <t>Jardineiro</t>
        </is>
      </c>
      <c r="B30" s="7" t="n"/>
      <c r="C30" s="23" t="n">
        <v>3</v>
      </c>
      <c r="D30" s="24" t="n">
        <v>6391.83</v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 t="n">
        <v>129.29</v>
      </c>
      <c r="D35" s="36">
        <f>A35*C35</f>
        <v/>
      </c>
      <c r="E35" s="26" t="n">
        <v>0</v>
      </c>
      <c r="F35" s="35" t="n">
        <v>526.64</v>
      </c>
      <c r="G35" s="36">
        <f>E35*F35</f>
        <v/>
      </c>
      <c r="H35" s="36">
        <f>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 t="n">
        <v>0.6965777399999999</v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 t="inlineStr">
        <is>
          <t>Manutenção de áreas externas e verdes no campus da Cidade Universitária</t>
        </is>
      </c>
      <c r="C50" s="51" t="n"/>
      <c r="D50" s="51" t="n"/>
      <c r="E50" s="51" t="n"/>
      <c r="F50" s="51" t="n"/>
      <c r="G50" s="52" t="n">
        <v>10152712.7675</v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'OUT-26'!I2</f>
        <v/>
      </c>
    </row>
    <row r="3">
      <c r="A3" s="5" t="inlineStr">
        <is>
          <t>OBJETO</t>
        </is>
      </c>
      <c r="B3" s="6">
        <f>'OUT-26'!B3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'OUT-26'!B4</f>
        <v/>
      </c>
      <c r="C4" s="7" t="n"/>
      <c r="D4" s="7" t="n"/>
      <c r="E4" s="7" t="n"/>
      <c r="F4" s="5" t="inlineStr">
        <is>
          <t>CONTRATO</t>
        </is>
      </c>
      <c r="G4" s="6">
        <f>'OUT-26'!G4</f>
        <v/>
      </c>
      <c r="H4" s="7" t="n"/>
      <c r="I4" s="7" t="n"/>
    </row>
    <row r="5">
      <c r="A5" s="5" t="inlineStr">
        <is>
          <t>UNIDADE</t>
        </is>
      </c>
      <c r="B5" s="6">
        <f>'OUT-26'!B5</f>
        <v/>
      </c>
      <c r="C5" s="7" t="n"/>
      <c r="D5" s="7" t="n"/>
      <c r="E5" s="7" t="n"/>
      <c r="F5" s="5" t="inlineStr">
        <is>
          <t>TERMO</t>
        </is>
      </c>
      <c r="G5" s="6">
        <f>'OUT-26'!G5</f>
        <v/>
      </c>
      <c r="H5" s="7" t="n"/>
      <c r="I5" s="7" t="n"/>
    </row>
    <row r="6">
      <c r="A6" s="5" t="inlineStr">
        <is>
          <t>MÊS/ANO</t>
        </is>
      </c>
      <c r="B6" s="8">
        <f>EDATE('OUT-26'!B6,1)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'OUT-26'!A25</f>
        <v/>
      </c>
      <c r="B25" s="7" t="n"/>
      <c r="C25" s="23">
        <f>'OUT-26'!C25</f>
        <v/>
      </c>
      <c r="D25" s="24">
        <f>'OUT-26'!D25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'OUT-26'!A26</f>
        <v/>
      </c>
      <c r="B26" s="7" t="n"/>
      <c r="C26" s="23">
        <f>'OUT-26'!C26</f>
        <v/>
      </c>
      <c r="D26" s="24">
        <f>'OUT-26'!D26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'OUT-26'!A27</f>
        <v/>
      </c>
      <c r="B27" s="7" t="n"/>
      <c r="C27" s="23">
        <f>'OUT-26'!C27</f>
        <v/>
      </c>
      <c r="D27" s="24">
        <f>'OUT-26'!D27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'OUT-26'!A28</f>
        <v/>
      </c>
      <c r="B28" s="7" t="n"/>
      <c r="C28" s="23">
        <f>'OUT-26'!C28</f>
        <v/>
      </c>
      <c r="D28" s="24">
        <f>'OUT-26'!D28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'OUT-26'!A29</f>
        <v/>
      </c>
      <c r="B29" s="7" t="n"/>
      <c r="C29" s="23">
        <f>'OUT-26'!C29</f>
        <v/>
      </c>
      <c r="D29" s="24">
        <f>'OUT-26'!D29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'OUT-26'!A30</f>
        <v/>
      </c>
      <c r="B30" s="7" t="n"/>
      <c r="C30" s="23">
        <f>'OUT-26'!C30</f>
        <v/>
      </c>
      <c r="D30" s="24">
        <f>'OUT-26'!D30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'OUT-26'!C35</f>
        <v/>
      </c>
      <c r="D35" s="36">
        <f>A35*C35</f>
        <v/>
      </c>
      <c r="E35" s="26" t="n">
        <v>0</v>
      </c>
      <c r="F35" s="35">
        <f>'OUT-26'!F35</f>
        <v/>
      </c>
      <c r="G35" s="36">
        <f>E35*F35</f>
        <v/>
      </c>
      <c r="H35" s="36">
        <f>'OUT-26'!H35+D35-G35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'OUT-26'!D40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'OUT-26'!B50</f>
        <v/>
      </c>
      <c r="C50" s="51" t="n"/>
      <c r="D50" s="51" t="n"/>
      <c r="E50" s="51" t="n"/>
      <c r="F50" s="51" t="n"/>
      <c r="G50" s="52">
        <f>'OUT-26'!G50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'NOV-26'!I2</f>
        <v/>
      </c>
    </row>
    <row r="3">
      <c r="A3" s="5" t="inlineStr">
        <is>
          <t>OBJETO</t>
        </is>
      </c>
      <c r="B3" s="6">
        <f>'NOV-26'!B3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'NOV-26'!B4</f>
        <v/>
      </c>
      <c r="C4" s="7" t="n"/>
      <c r="D4" s="7" t="n"/>
      <c r="E4" s="7" t="n"/>
      <c r="F4" s="5" t="inlineStr">
        <is>
          <t>CONTRATO</t>
        </is>
      </c>
      <c r="G4" s="6">
        <f>'NOV-26'!G4</f>
        <v/>
      </c>
      <c r="H4" s="7" t="n"/>
      <c r="I4" s="7" t="n"/>
    </row>
    <row r="5">
      <c r="A5" s="5" t="inlineStr">
        <is>
          <t>UNIDADE</t>
        </is>
      </c>
      <c r="B5" s="6">
        <f>'NOV-26'!B5</f>
        <v/>
      </c>
      <c r="C5" s="7" t="n"/>
      <c r="D5" s="7" t="n"/>
      <c r="E5" s="7" t="n"/>
      <c r="F5" s="5" t="inlineStr">
        <is>
          <t>TERMO</t>
        </is>
      </c>
      <c r="G5" s="6">
        <f>'NOV-26'!G5</f>
        <v/>
      </c>
      <c r="H5" s="7" t="n"/>
      <c r="I5" s="7" t="n"/>
    </row>
    <row r="6">
      <c r="A6" s="5" t="inlineStr">
        <is>
          <t>MÊS/ANO</t>
        </is>
      </c>
      <c r="B6" s="8">
        <f>EDATE('NOV-26'!B6,1)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'NOV-26'!A25</f>
        <v/>
      </c>
      <c r="B25" s="7" t="n"/>
      <c r="C25" s="23">
        <f>'NOV-26'!C25</f>
        <v/>
      </c>
      <c r="D25" s="24">
        <f>'NOV-26'!D25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'NOV-26'!A26</f>
        <v/>
      </c>
      <c r="B26" s="7" t="n"/>
      <c r="C26" s="23">
        <f>'NOV-26'!C26</f>
        <v/>
      </c>
      <c r="D26" s="24">
        <f>'NOV-26'!D26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'NOV-26'!A27</f>
        <v/>
      </c>
      <c r="B27" s="7" t="n"/>
      <c r="C27" s="23">
        <f>'NOV-26'!C27</f>
        <v/>
      </c>
      <c r="D27" s="24">
        <f>'NOV-26'!D27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'NOV-26'!A28</f>
        <v/>
      </c>
      <c r="B28" s="7" t="n"/>
      <c r="C28" s="23">
        <f>'NOV-26'!C28</f>
        <v/>
      </c>
      <c r="D28" s="24">
        <f>'NOV-26'!D28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'NOV-26'!A29</f>
        <v/>
      </c>
      <c r="B29" s="7" t="n"/>
      <c r="C29" s="23">
        <f>'NOV-26'!C29</f>
        <v/>
      </c>
      <c r="D29" s="24">
        <f>'NOV-26'!D29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'NOV-26'!A30</f>
        <v/>
      </c>
      <c r="B30" s="7" t="n"/>
      <c r="C30" s="23">
        <f>'NOV-26'!C30</f>
        <v/>
      </c>
      <c r="D30" s="24">
        <f>'NOV-26'!D30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'NOV-26'!C35</f>
        <v/>
      </c>
      <c r="D35" s="36">
        <f>A35*C35</f>
        <v/>
      </c>
      <c r="E35" s="26" t="n">
        <v>0</v>
      </c>
      <c r="F35" s="35">
        <f>'NOV-26'!F35</f>
        <v/>
      </c>
      <c r="G35" s="36">
        <f>E35*F35</f>
        <v/>
      </c>
      <c r="H35" s="36">
        <f>'NOV-26'!H35+D35-G35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'NOV-26'!D40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'NOV-26'!B50</f>
        <v/>
      </c>
      <c r="C50" s="51" t="n"/>
      <c r="D50" s="51" t="n"/>
      <c r="E50" s="51" t="n"/>
      <c r="F50" s="51" t="n"/>
      <c r="G50" s="52">
        <f>'NOV-26'!G50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'DEZ-26'!I2</f>
        <v/>
      </c>
    </row>
    <row r="3">
      <c r="A3" s="5" t="inlineStr">
        <is>
          <t>OBJETO</t>
        </is>
      </c>
      <c r="B3" s="6">
        <f>'DEZ-26'!B3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'DEZ-26'!B4</f>
        <v/>
      </c>
      <c r="C4" s="7" t="n"/>
      <c r="D4" s="7" t="n"/>
      <c r="E4" s="7" t="n"/>
      <c r="F4" s="5" t="inlineStr">
        <is>
          <t>CONTRATO</t>
        </is>
      </c>
      <c r="G4" s="6">
        <f>'DEZ-26'!G4</f>
        <v/>
      </c>
      <c r="H4" s="7" t="n"/>
      <c r="I4" s="7" t="n"/>
    </row>
    <row r="5">
      <c r="A5" s="5" t="inlineStr">
        <is>
          <t>UNIDADE</t>
        </is>
      </c>
      <c r="B5" s="6">
        <f>'DEZ-26'!B5</f>
        <v/>
      </c>
      <c r="C5" s="7" t="n"/>
      <c r="D5" s="7" t="n"/>
      <c r="E5" s="7" t="n"/>
      <c r="F5" s="5" t="inlineStr">
        <is>
          <t>TERMO</t>
        </is>
      </c>
      <c r="G5" s="6">
        <f>'DEZ-26'!G5</f>
        <v/>
      </c>
      <c r="H5" s="7" t="n"/>
      <c r="I5" s="7" t="n"/>
    </row>
    <row r="6">
      <c r="A6" s="5" t="inlineStr">
        <is>
          <t>MÊS/ANO</t>
        </is>
      </c>
      <c r="B6" s="8">
        <f>EDATE('DEZ-26'!B6,1)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'DEZ-26'!A25</f>
        <v/>
      </c>
      <c r="B25" s="7" t="n"/>
      <c r="C25" s="23">
        <f>'DEZ-26'!C25</f>
        <v/>
      </c>
      <c r="D25" s="24">
        <f>'DEZ-26'!D25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'DEZ-26'!A26</f>
        <v/>
      </c>
      <c r="B26" s="7" t="n"/>
      <c r="C26" s="23">
        <f>'DEZ-26'!C26</f>
        <v/>
      </c>
      <c r="D26" s="24">
        <f>'DEZ-26'!D26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'DEZ-26'!A27</f>
        <v/>
      </c>
      <c r="B27" s="7" t="n"/>
      <c r="C27" s="23">
        <f>'DEZ-26'!C27</f>
        <v/>
      </c>
      <c r="D27" s="24">
        <f>'DEZ-26'!D27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'DEZ-26'!A28</f>
        <v/>
      </c>
      <c r="B28" s="7" t="n"/>
      <c r="C28" s="23">
        <f>'DEZ-26'!C28</f>
        <v/>
      </c>
      <c r="D28" s="24">
        <f>'DEZ-26'!D28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'DEZ-26'!A29</f>
        <v/>
      </c>
      <c r="B29" s="7" t="n"/>
      <c r="C29" s="23">
        <f>'DEZ-26'!C29</f>
        <v/>
      </c>
      <c r="D29" s="24">
        <f>'DEZ-26'!D29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'DEZ-26'!A30</f>
        <v/>
      </c>
      <c r="B30" s="7" t="n"/>
      <c r="C30" s="23">
        <f>'DEZ-26'!C30</f>
        <v/>
      </c>
      <c r="D30" s="24">
        <f>'DEZ-26'!D30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'DEZ-26'!C35</f>
        <v/>
      </c>
      <c r="D35" s="36">
        <f>A35*C35</f>
        <v/>
      </c>
      <c r="E35" s="26" t="n">
        <v>0</v>
      </c>
      <c r="F35" s="35">
        <f>'DEZ-26'!F35</f>
        <v/>
      </c>
      <c r="G35" s="36">
        <f>E35*F35</f>
        <v/>
      </c>
      <c r="H35" s="36">
        <f>'DEZ-26'!H35+D35-G35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'DEZ-26'!D40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'DEZ-26'!B50</f>
        <v/>
      </c>
      <c r="C50" s="51" t="n"/>
      <c r="D50" s="51" t="n"/>
      <c r="E50" s="51" t="n"/>
      <c r="F50" s="51" t="n"/>
      <c r="G50" s="52">
        <f>'DEZ-26'!G50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'JAN-27'!I2</f>
        <v/>
      </c>
    </row>
    <row r="3">
      <c r="A3" s="5" t="inlineStr">
        <is>
          <t>OBJETO</t>
        </is>
      </c>
      <c r="B3" s="6">
        <f>'JAN-27'!B3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'JAN-27'!B4</f>
        <v/>
      </c>
      <c r="C4" s="7" t="n"/>
      <c r="D4" s="7" t="n"/>
      <c r="E4" s="7" t="n"/>
      <c r="F4" s="5" t="inlineStr">
        <is>
          <t>CONTRATO</t>
        </is>
      </c>
      <c r="G4" s="6">
        <f>'JAN-27'!G4</f>
        <v/>
      </c>
      <c r="H4" s="7" t="n"/>
      <c r="I4" s="7" t="n"/>
    </row>
    <row r="5">
      <c r="A5" s="5" t="inlineStr">
        <is>
          <t>UNIDADE</t>
        </is>
      </c>
      <c r="B5" s="6">
        <f>'JAN-27'!B5</f>
        <v/>
      </c>
      <c r="C5" s="7" t="n"/>
      <c r="D5" s="7" t="n"/>
      <c r="E5" s="7" t="n"/>
      <c r="F5" s="5" t="inlineStr">
        <is>
          <t>TERMO</t>
        </is>
      </c>
      <c r="G5" s="6">
        <f>'JAN-27'!G5</f>
        <v/>
      </c>
      <c r="H5" s="7" t="n"/>
      <c r="I5" s="7" t="n"/>
    </row>
    <row r="6">
      <c r="A6" s="5" t="inlineStr">
        <is>
          <t>MÊS/ANO</t>
        </is>
      </c>
      <c r="B6" s="8">
        <f>EDATE('JAN-27'!B6,1)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'JAN-27'!A25</f>
        <v/>
      </c>
      <c r="B25" s="7" t="n"/>
      <c r="C25" s="23">
        <f>'JAN-27'!C25</f>
        <v/>
      </c>
      <c r="D25" s="24">
        <f>'JAN-27'!D25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'JAN-27'!A26</f>
        <v/>
      </c>
      <c r="B26" s="7" t="n"/>
      <c r="C26" s="23">
        <f>'JAN-27'!C26</f>
        <v/>
      </c>
      <c r="D26" s="24">
        <f>'JAN-27'!D26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'JAN-27'!A27</f>
        <v/>
      </c>
      <c r="B27" s="7" t="n"/>
      <c r="C27" s="23">
        <f>'JAN-27'!C27</f>
        <v/>
      </c>
      <c r="D27" s="24">
        <f>'JAN-27'!D27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'JAN-27'!A28</f>
        <v/>
      </c>
      <c r="B28" s="7" t="n"/>
      <c r="C28" s="23">
        <f>'JAN-27'!C28</f>
        <v/>
      </c>
      <c r="D28" s="24">
        <f>'JAN-27'!D28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'JAN-27'!A29</f>
        <v/>
      </c>
      <c r="B29" s="7" t="n"/>
      <c r="C29" s="23">
        <f>'JAN-27'!C29</f>
        <v/>
      </c>
      <c r="D29" s="24">
        <f>'JAN-27'!D29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'JAN-27'!A30</f>
        <v/>
      </c>
      <c r="B30" s="7" t="n"/>
      <c r="C30" s="23">
        <f>'JAN-27'!C30</f>
        <v/>
      </c>
      <c r="D30" s="24">
        <f>'JAN-27'!D30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'JAN-27'!C35</f>
        <v/>
      </c>
      <c r="D35" s="36">
        <f>A35*C35</f>
        <v/>
      </c>
      <c r="E35" s="26" t="n">
        <v>0</v>
      </c>
      <c r="F35" s="35">
        <f>'JAN-27'!F35</f>
        <v/>
      </c>
      <c r="G35" s="36">
        <f>E35*F35</f>
        <v/>
      </c>
      <c r="H35" s="36">
        <f>'JAN-27'!H35+D35-G35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'JAN-27'!D40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'JAN-27'!B50</f>
        <v/>
      </c>
      <c r="C50" s="51" t="n"/>
      <c r="D50" s="51" t="n"/>
      <c r="E50" s="51" t="n"/>
      <c r="F50" s="51" t="n"/>
      <c r="G50" s="52">
        <f>'JAN-27'!G50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'FEV-27'!I2</f>
        <v/>
      </c>
    </row>
    <row r="3">
      <c r="A3" s="5" t="inlineStr">
        <is>
          <t>OBJETO</t>
        </is>
      </c>
      <c r="B3" s="6">
        <f>'FEV-27'!B3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'FEV-27'!B4</f>
        <v/>
      </c>
      <c r="C4" s="7" t="n"/>
      <c r="D4" s="7" t="n"/>
      <c r="E4" s="7" t="n"/>
      <c r="F4" s="5" t="inlineStr">
        <is>
          <t>CONTRATO</t>
        </is>
      </c>
      <c r="G4" s="6">
        <f>'FEV-27'!G4</f>
        <v/>
      </c>
      <c r="H4" s="7" t="n"/>
      <c r="I4" s="7" t="n"/>
    </row>
    <row r="5">
      <c r="A5" s="5" t="inlineStr">
        <is>
          <t>UNIDADE</t>
        </is>
      </c>
      <c r="B5" s="6">
        <f>'FEV-27'!B5</f>
        <v/>
      </c>
      <c r="C5" s="7" t="n"/>
      <c r="D5" s="7" t="n"/>
      <c r="E5" s="7" t="n"/>
      <c r="F5" s="5" t="inlineStr">
        <is>
          <t>TERMO</t>
        </is>
      </c>
      <c r="G5" s="6">
        <f>'FEV-27'!G5</f>
        <v/>
      </c>
      <c r="H5" s="7" t="n"/>
      <c r="I5" s="7" t="n"/>
    </row>
    <row r="6">
      <c r="A6" s="5" t="inlineStr">
        <is>
          <t>MÊS/ANO</t>
        </is>
      </c>
      <c r="B6" s="8">
        <f>EDATE('FEV-27'!B6,1)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'FEV-27'!A25</f>
        <v/>
      </c>
      <c r="B25" s="7" t="n"/>
      <c r="C25" s="23">
        <f>'FEV-27'!C25</f>
        <v/>
      </c>
      <c r="D25" s="24">
        <f>'FEV-27'!D25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'FEV-27'!A26</f>
        <v/>
      </c>
      <c r="B26" s="7" t="n"/>
      <c r="C26" s="23">
        <f>'FEV-27'!C26</f>
        <v/>
      </c>
      <c r="D26" s="24">
        <f>'FEV-27'!D26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'FEV-27'!A27</f>
        <v/>
      </c>
      <c r="B27" s="7" t="n"/>
      <c r="C27" s="23">
        <f>'FEV-27'!C27</f>
        <v/>
      </c>
      <c r="D27" s="24">
        <f>'FEV-27'!D27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'FEV-27'!A28</f>
        <v/>
      </c>
      <c r="B28" s="7" t="n"/>
      <c r="C28" s="23">
        <f>'FEV-27'!C28</f>
        <v/>
      </c>
      <c r="D28" s="24">
        <f>'FEV-27'!D28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'FEV-27'!A29</f>
        <v/>
      </c>
      <c r="B29" s="7" t="n"/>
      <c r="C29" s="23">
        <f>'FEV-27'!C29</f>
        <v/>
      </c>
      <c r="D29" s="24">
        <f>'FEV-27'!D29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'FEV-27'!A30</f>
        <v/>
      </c>
      <c r="B30" s="7" t="n"/>
      <c r="C30" s="23">
        <f>'FEV-27'!C30</f>
        <v/>
      </c>
      <c r="D30" s="24">
        <f>'FEV-27'!D30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'FEV-27'!C35</f>
        <v/>
      </c>
      <c r="D35" s="36">
        <f>A35*C35</f>
        <v/>
      </c>
      <c r="E35" s="26" t="n">
        <v>0</v>
      </c>
      <c r="F35" s="35">
        <f>'FEV-27'!F35</f>
        <v/>
      </c>
      <c r="G35" s="36">
        <f>E35*F35</f>
        <v/>
      </c>
      <c r="H35" s="36">
        <f>'FEV-27'!H35+D35-G35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'FEV-27'!D40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'FEV-27'!B50</f>
        <v/>
      </c>
      <c r="C50" s="51" t="n"/>
      <c r="D50" s="51" t="n"/>
      <c r="E50" s="51" t="n"/>
      <c r="F50" s="51" t="n"/>
      <c r="G50" s="52">
        <f>'FEV-27'!G50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'MAR-27'!I2</f>
        <v/>
      </c>
    </row>
    <row r="3">
      <c r="A3" s="5" t="inlineStr">
        <is>
          <t>OBJETO</t>
        </is>
      </c>
      <c r="B3" s="6">
        <f>'MAR-27'!B3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'MAR-27'!B4</f>
        <v/>
      </c>
      <c r="C4" s="7" t="n"/>
      <c r="D4" s="7" t="n"/>
      <c r="E4" s="7" t="n"/>
      <c r="F4" s="5" t="inlineStr">
        <is>
          <t>CONTRATO</t>
        </is>
      </c>
      <c r="G4" s="6">
        <f>'MAR-27'!G4</f>
        <v/>
      </c>
      <c r="H4" s="7" t="n"/>
      <c r="I4" s="7" t="n"/>
    </row>
    <row r="5">
      <c r="A5" s="5" t="inlineStr">
        <is>
          <t>UNIDADE</t>
        </is>
      </c>
      <c r="B5" s="6">
        <f>'MAR-27'!B5</f>
        <v/>
      </c>
      <c r="C5" s="7" t="n"/>
      <c r="D5" s="7" t="n"/>
      <c r="E5" s="7" t="n"/>
      <c r="F5" s="5" t="inlineStr">
        <is>
          <t>TERMO</t>
        </is>
      </c>
      <c r="G5" s="6">
        <f>'MAR-27'!G5</f>
        <v/>
      </c>
      <c r="H5" s="7" t="n"/>
      <c r="I5" s="7" t="n"/>
    </row>
    <row r="6">
      <c r="A6" s="5" t="inlineStr">
        <is>
          <t>MÊS/ANO</t>
        </is>
      </c>
      <c r="B6" s="8">
        <f>EDATE('MAR-27'!B6,1)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'MAR-27'!A25</f>
        <v/>
      </c>
      <c r="B25" s="7" t="n"/>
      <c r="C25" s="23">
        <f>'MAR-27'!C25</f>
        <v/>
      </c>
      <c r="D25" s="24">
        <f>'MAR-27'!D25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'MAR-27'!A26</f>
        <v/>
      </c>
      <c r="B26" s="7" t="n"/>
      <c r="C26" s="23">
        <f>'MAR-27'!C26</f>
        <v/>
      </c>
      <c r="D26" s="24">
        <f>'MAR-27'!D26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'MAR-27'!A27</f>
        <v/>
      </c>
      <c r="B27" s="7" t="n"/>
      <c r="C27" s="23">
        <f>'MAR-27'!C27</f>
        <v/>
      </c>
      <c r="D27" s="24">
        <f>'MAR-27'!D27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'MAR-27'!A28</f>
        <v/>
      </c>
      <c r="B28" s="7" t="n"/>
      <c r="C28" s="23">
        <f>'MAR-27'!C28</f>
        <v/>
      </c>
      <c r="D28" s="24">
        <f>'MAR-27'!D28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'MAR-27'!A29</f>
        <v/>
      </c>
      <c r="B29" s="7" t="n"/>
      <c r="C29" s="23">
        <f>'MAR-27'!C29</f>
        <v/>
      </c>
      <c r="D29" s="24">
        <f>'MAR-27'!D29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'MAR-27'!A30</f>
        <v/>
      </c>
      <c r="B30" s="7" t="n"/>
      <c r="C30" s="23">
        <f>'MAR-27'!C30</f>
        <v/>
      </c>
      <c r="D30" s="24">
        <f>'MAR-27'!D30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'MAR-27'!C35</f>
        <v/>
      </c>
      <c r="D35" s="36">
        <f>A35*C35</f>
        <v/>
      </c>
      <c r="E35" s="26" t="n">
        <v>0</v>
      </c>
      <c r="F35" s="35">
        <f>'MAR-27'!F35</f>
        <v/>
      </c>
      <c r="G35" s="36">
        <f>E35*F35</f>
        <v/>
      </c>
      <c r="H35" s="36">
        <f>'MAR-27'!H35+D35-G35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'MAR-27'!D40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'MAR-27'!B50</f>
        <v/>
      </c>
      <c r="C50" s="51" t="n"/>
      <c r="D50" s="51" t="n"/>
      <c r="E50" s="51" t="n"/>
      <c r="F50" s="51" t="n"/>
      <c r="G50" s="52">
        <f>'MAR-27'!G50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'ABR-27'!I2</f>
        <v/>
      </c>
    </row>
    <row r="3">
      <c r="A3" s="5" t="inlineStr">
        <is>
          <t>OBJETO</t>
        </is>
      </c>
      <c r="B3" s="6">
        <f>'ABR-27'!B3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'ABR-27'!B4</f>
        <v/>
      </c>
      <c r="C4" s="7" t="n"/>
      <c r="D4" s="7" t="n"/>
      <c r="E4" s="7" t="n"/>
      <c r="F4" s="5" t="inlineStr">
        <is>
          <t>CONTRATO</t>
        </is>
      </c>
      <c r="G4" s="6">
        <f>'ABR-27'!G4</f>
        <v/>
      </c>
      <c r="H4" s="7" t="n"/>
      <c r="I4" s="7" t="n"/>
    </row>
    <row r="5">
      <c r="A5" s="5" t="inlineStr">
        <is>
          <t>UNIDADE</t>
        </is>
      </c>
      <c r="B5" s="6">
        <f>'ABR-27'!B5</f>
        <v/>
      </c>
      <c r="C5" s="7" t="n"/>
      <c r="D5" s="7" t="n"/>
      <c r="E5" s="7" t="n"/>
      <c r="F5" s="5" t="inlineStr">
        <is>
          <t>TERMO</t>
        </is>
      </c>
      <c r="G5" s="6">
        <f>'ABR-27'!G5</f>
        <v/>
      </c>
      <c r="H5" s="7" t="n"/>
      <c r="I5" s="7" t="n"/>
    </row>
    <row r="6">
      <c r="A6" s="5" t="inlineStr">
        <is>
          <t>MÊS/ANO</t>
        </is>
      </c>
      <c r="B6" s="8">
        <f>EDATE('ABR-27'!B6,1)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'ABR-27'!A25</f>
        <v/>
      </c>
      <c r="B25" s="7" t="n"/>
      <c r="C25" s="23">
        <f>'ABR-27'!C25</f>
        <v/>
      </c>
      <c r="D25" s="24">
        <f>'ABR-27'!D25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'ABR-27'!A26</f>
        <v/>
      </c>
      <c r="B26" s="7" t="n"/>
      <c r="C26" s="23">
        <f>'ABR-27'!C26</f>
        <v/>
      </c>
      <c r="D26" s="24">
        <f>'ABR-27'!D26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'ABR-27'!A27</f>
        <v/>
      </c>
      <c r="B27" s="7" t="n"/>
      <c r="C27" s="23">
        <f>'ABR-27'!C27</f>
        <v/>
      </c>
      <c r="D27" s="24">
        <f>'ABR-27'!D27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'ABR-27'!A28</f>
        <v/>
      </c>
      <c r="B28" s="7" t="n"/>
      <c r="C28" s="23">
        <f>'ABR-27'!C28</f>
        <v/>
      </c>
      <c r="D28" s="24">
        <f>'ABR-27'!D28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'ABR-27'!A29</f>
        <v/>
      </c>
      <c r="B29" s="7" t="n"/>
      <c r="C29" s="23">
        <f>'ABR-27'!C29</f>
        <v/>
      </c>
      <c r="D29" s="24">
        <f>'ABR-27'!D29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'ABR-27'!A30</f>
        <v/>
      </c>
      <c r="B30" s="7" t="n"/>
      <c r="C30" s="23">
        <f>'ABR-27'!C30</f>
        <v/>
      </c>
      <c r="D30" s="24">
        <f>'ABR-27'!D30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'ABR-27'!C35</f>
        <v/>
      </c>
      <c r="D35" s="36">
        <f>A35*C35</f>
        <v/>
      </c>
      <c r="E35" s="26" t="n">
        <v>0</v>
      </c>
      <c r="F35" s="35">
        <f>'ABR-27'!F35</f>
        <v/>
      </c>
      <c r="G35" s="36">
        <f>E35*F35</f>
        <v/>
      </c>
      <c r="H35" s="36">
        <f>'ABR-27'!H35+D35-G35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'ABR-27'!D40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'ABR-27'!B50</f>
        <v/>
      </c>
      <c r="C50" s="51" t="n"/>
      <c r="D50" s="51" t="n"/>
      <c r="E50" s="51" t="n"/>
      <c r="F50" s="51" t="n"/>
      <c r="G50" s="52">
        <f>'ABR-27'!G50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'MAI-27'!I2</f>
        <v/>
      </c>
    </row>
    <row r="3">
      <c r="A3" s="5" t="inlineStr">
        <is>
          <t>OBJETO</t>
        </is>
      </c>
      <c r="B3" s="6">
        <f>'MAI-27'!B3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'MAI-27'!B4</f>
        <v/>
      </c>
      <c r="C4" s="7" t="n"/>
      <c r="D4" s="7" t="n"/>
      <c r="E4" s="7" t="n"/>
      <c r="F4" s="5" t="inlineStr">
        <is>
          <t>CONTRATO</t>
        </is>
      </c>
      <c r="G4" s="6">
        <f>'MAI-27'!G4</f>
        <v/>
      </c>
      <c r="H4" s="7" t="n"/>
      <c r="I4" s="7" t="n"/>
    </row>
    <row r="5">
      <c r="A5" s="5" t="inlineStr">
        <is>
          <t>UNIDADE</t>
        </is>
      </c>
      <c r="B5" s="6">
        <f>'MAI-27'!B5</f>
        <v/>
      </c>
      <c r="C5" s="7" t="n"/>
      <c r="D5" s="7" t="n"/>
      <c r="E5" s="7" t="n"/>
      <c r="F5" s="5" t="inlineStr">
        <is>
          <t>TERMO</t>
        </is>
      </c>
      <c r="G5" s="6">
        <f>'MAI-27'!G5</f>
        <v/>
      </c>
      <c r="H5" s="7" t="n"/>
      <c r="I5" s="7" t="n"/>
    </row>
    <row r="6">
      <c r="A6" s="5" t="inlineStr">
        <is>
          <t>MÊS/ANO</t>
        </is>
      </c>
      <c r="B6" s="8">
        <f>EDATE('MAI-27'!B6,1)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'MAI-27'!A25</f>
        <v/>
      </c>
      <c r="B25" s="7" t="n"/>
      <c r="C25" s="23">
        <f>'MAI-27'!C25</f>
        <v/>
      </c>
      <c r="D25" s="24">
        <f>'MAI-27'!D25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'MAI-27'!A26</f>
        <v/>
      </c>
      <c r="B26" s="7" t="n"/>
      <c r="C26" s="23">
        <f>'MAI-27'!C26</f>
        <v/>
      </c>
      <c r="D26" s="24">
        <f>'MAI-27'!D26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'MAI-27'!A27</f>
        <v/>
      </c>
      <c r="B27" s="7" t="n"/>
      <c r="C27" s="23">
        <f>'MAI-27'!C27</f>
        <v/>
      </c>
      <c r="D27" s="24">
        <f>'MAI-27'!D27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'MAI-27'!A28</f>
        <v/>
      </c>
      <c r="B28" s="7" t="n"/>
      <c r="C28" s="23">
        <f>'MAI-27'!C28</f>
        <v/>
      </c>
      <c r="D28" s="24">
        <f>'MAI-27'!D28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'MAI-27'!A29</f>
        <v/>
      </c>
      <c r="B29" s="7" t="n"/>
      <c r="C29" s="23">
        <f>'MAI-27'!C29</f>
        <v/>
      </c>
      <c r="D29" s="24">
        <f>'MAI-27'!D29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'MAI-27'!A30</f>
        <v/>
      </c>
      <c r="B30" s="7" t="n"/>
      <c r="C30" s="23">
        <f>'MAI-27'!C30</f>
        <v/>
      </c>
      <c r="D30" s="24">
        <f>'MAI-27'!D30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'MAI-27'!C35</f>
        <v/>
      </c>
      <c r="D35" s="36">
        <f>A35*C35</f>
        <v/>
      </c>
      <c r="E35" s="26" t="n">
        <v>0</v>
      </c>
      <c r="F35" s="35">
        <f>'MAI-27'!F35</f>
        <v/>
      </c>
      <c r="G35" s="36">
        <f>E35*F35</f>
        <v/>
      </c>
      <c r="H35" s="36">
        <f>'MAI-27'!H35+D35-G35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'MAI-27'!D40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'MAI-27'!B50</f>
        <v/>
      </c>
      <c r="C50" s="51" t="n"/>
      <c r="D50" s="51" t="n"/>
      <c r="E50" s="51" t="n"/>
      <c r="F50" s="51" t="n"/>
      <c r="G50" s="52">
        <f>'MAI-27'!G50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'JUN-27'!I2</f>
        <v/>
      </c>
    </row>
    <row r="3">
      <c r="A3" s="5" t="inlineStr">
        <is>
          <t>OBJETO</t>
        </is>
      </c>
      <c r="B3" s="6">
        <f>'JUN-27'!B3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'JUN-27'!B4</f>
        <v/>
      </c>
      <c r="C4" s="7" t="n"/>
      <c r="D4" s="7" t="n"/>
      <c r="E4" s="7" t="n"/>
      <c r="F4" s="5" t="inlineStr">
        <is>
          <t>CONTRATO</t>
        </is>
      </c>
      <c r="G4" s="6">
        <f>'JUN-27'!G4</f>
        <v/>
      </c>
      <c r="H4" s="7" t="n"/>
      <c r="I4" s="7" t="n"/>
    </row>
    <row r="5">
      <c r="A5" s="5" t="inlineStr">
        <is>
          <t>UNIDADE</t>
        </is>
      </c>
      <c r="B5" s="6">
        <f>'JUN-27'!B5</f>
        <v/>
      </c>
      <c r="C5" s="7" t="n"/>
      <c r="D5" s="7" t="n"/>
      <c r="E5" s="7" t="n"/>
      <c r="F5" s="5" t="inlineStr">
        <is>
          <t>TERMO</t>
        </is>
      </c>
      <c r="G5" s="6">
        <f>'JUN-27'!G5</f>
        <v/>
      </c>
      <c r="H5" s="7" t="n"/>
      <c r="I5" s="7" t="n"/>
    </row>
    <row r="6">
      <c r="A6" s="5" t="inlineStr">
        <is>
          <t>MÊS/ANO</t>
        </is>
      </c>
      <c r="B6" s="8">
        <f>EDATE('JUN-27'!B6,1)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'JUN-27'!A25</f>
        <v/>
      </c>
      <c r="B25" s="7" t="n"/>
      <c r="C25" s="23">
        <f>'JUN-27'!C25</f>
        <v/>
      </c>
      <c r="D25" s="24">
        <f>'JUN-27'!D25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'JUN-27'!A26</f>
        <v/>
      </c>
      <c r="B26" s="7" t="n"/>
      <c r="C26" s="23">
        <f>'JUN-27'!C26</f>
        <v/>
      </c>
      <c r="D26" s="24">
        <f>'JUN-27'!D26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'JUN-27'!A27</f>
        <v/>
      </c>
      <c r="B27" s="7" t="n"/>
      <c r="C27" s="23">
        <f>'JUN-27'!C27</f>
        <v/>
      </c>
      <c r="D27" s="24">
        <f>'JUN-27'!D27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'JUN-27'!A28</f>
        <v/>
      </c>
      <c r="B28" s="7" t="n"/>
      <c r="C28" s="23">
        <f>'JUN-27'!C28</f>
        <v/>
      </c>
      <c r="D28" s="24">
        <f>'JUN-27'!D28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'JUN-27'!A29</f>
        <v/>
      </c>
      <c r="B29" s="7" t="n"/>
      <c r="C29" s="23">
        <f>'JUN-27'!C29</f>
        <v/>
      </c>
      <c r="D29" s="24">
        <f>'JUN-27'!D29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'JUN-27'!A30</f>
        <v/>
      </c>
      <c r="B30" s="7" t="n"/>
      <c r="C30" s="23">
        <f>'JUN-27'!C30</f>
        <v/>
      </c>
      <c r="D30" s="24">
        <f>'JUN-27'!D30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'JUN-27'!C35</f>
        <v/>
      </c>
      <c r="D35" s="36">
        <f>A35*C35</f>
        <v/>
      </c>
      <c r="E35" s="26" t="n">
        <v>0</v>
      </c>
      <c r="F35" s="35">
        <f>'JUN-27'!F35</f>
        <v/>
      </c>
      <c r="G35" s="36">
        <f>E35*F35</f>
        <v/>
      </c>
      <c r="H35" s="36">
        <f>'JUN-27'!H35+D35-G35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'JUN-27'!D40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'JUN-27'!B50</f>
        <v/>
      </c>
      <c r="C50" s="51" t="n"/>
      <c r="D50" s="51" t="n"/>
      <c r="E50" s="51" t="n"/>
      <c r="F50" s="51" t="n"/>
      <c r="G50" s="52">
        <f>'JUN-27'!G50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'JUL-27'!I2</f>
        <v/>
      </c>
    </row>
    <row r="3">
      <c r="A3" s="5" t="inlineStr">
        <is>
          <t>OBJETO</t>
        </is>
      </c>
      <c r="B3" s="6">
        <f>'JUL-27'!B3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'JUL-27'!B4</f>
        <v/>
      </c>
      <c r="C4" s="7" t="n"/>
      <c r="D4" s="7" t="n"/>
      <c r="E4" s="7" t="n"/>
      <c r="F4" s="5" t="inlineStr">
        <is>
          <t>CONTRATO</t>
        </is>
      </c>
      <c r="G4" s="6">
        <f>'JUL-27'!G4</f>
        <v/>
      </c>
      <c r="H4" s="7" t="n"/>
      <c r="I4" s="7" t="n"/>
    </row>
    <row r="5">
      <c r="A5" s="5" t="inlineStr">
        <is>
          <t>UNIDADE</t>
        </is>
      </c>
      <c r="B5" s="6">
        <f>'JUL-27'!B5</f>
        <v/>
      </c>
      <c r="C5" s="7" t="n"/>
      <c r="D5" s="7" t="n"/>
      <c r="E5" s="7" t="n"/>
      <c r="F5" s="5" t="inlineStr">
        <is>
          <t>TERMO</t>
        </is>
      </c>
      <c r="G5" s="6">
        <f>'JUL-27'!G5</f>
        <v/>
      </c>
      <c r="H5" s="7" t="n"/>
      <c r="I5" s="7" t="n"/>
    </row>
    <row r="6">
      <c r="A6" s="5" t="inlineStr">
        <is>
          <t>MÊS/ANO</t>
        </is>
      </c>
      <c r="B6" s="8">
        <f>EDATE('JUL-27'!B6,1)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'JUL-27'!A25</f>
        <v/>
      </c>
      <c r="B25" s="7" t="n"/>
      <c r="C25" s="23">
        <f>'JUL-27'!C25</f>
        <v/>
      </c>
      <c r="D25" s="24">
        <f>'JUL-27'!D25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'JUL-27'!A26</f>
        <v/>
      </c>
      <c r="B26" s="7" t="n"/>
      <c r="C26" s="23">
        <f>'JUL-27'!C26</f>
        <v/>
      </c>
      <c r="D26" s="24">
        <f>'JUL-27'!D26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'JUL-27'!A27</f>
        <v/>
      </c>
      <c r="B27" s="7" t="n"/>
      <c r="C27" s="23">
        <f>'JUL-27'!C27</f>
        <v/>
      </c>
      <c r="D27" s="24">
        <f>'JUL-27'!D27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'JUL-27'!A28</f>
        <v/>
      </c>
      <c r="B28" s="7" t="n"/>
      <c r="C28" s="23">
        <f>'JUL-27'!C28</f>
        <v/>
      </c>
      <c r="D28" s="24">
        <f>'JUL-27'!D28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'JUL-27'!A29</f>
        <v/>
      </c>
      <c r="B29" s="7" t="n"/>
      <c r="C29" s="23">
        <f>'JUL-27'!C29</f>
        <v/>
      </c>
      <c r="D29" s="24">
        <f>'JUL-27'!D29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'JUL-27'!A30</f>
        <v/>
      </c>
      <c r="B30" s="7" t="n"/>
      <c r="C30" s="23">
        <f>'JUL-27'!C30</f>
        <v/>
      </c>
      <c r="D30" s="24">
        <f>'JUL-27'!D30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'JUL-27'!C35</f>
        <v/>
      </c>
      <c r="D35" s="36">
        <f>A35*C35</f>
        <v/>
      </c>
      <c r="E35" s="26" t="n">
        <v>0</v>
      </c>
      <c r="F35" s="35">
        <f>'JUL-27'!F35</f>
        <v/>
      </c>
      <c r="G35" s="36">
        <f>E35*F35</f>
        <v/>
      </c>
      <c r="H35" s="36">
        <f>'JUL-27'!H35+D35-G35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'JUL-27'!D40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'JUL-27'!B50</f>
        <v/>
      </c>
      <c r="C50" s="51" t="n"/>
      <c r="D50" s="51" t="n"/>
      <c r="E50" s="51" t="n"/>
      <c r="F50" s="51" t="n"/>
      <c r="G50" s="52">
        <f>'JUL-27'!G50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'AGO-27'!I2</f>
        <v/>
      </c>
    </row>
    <row r="3">
      <c r="A3" s="5" t="inlineStr">
        <is>
          <t>OBJETO</t>
        </is>
      </c>
      <c r="B3" s="6">
        <f>'AGO-27'!B3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'AGO-27'!B4</f>
        <v/>
      </c>
      <c r="C4" s="7" t="n"/>
      <c r="D4" s="7" t="n"/>
      <c r="E4" s="7" t="n"/>
      <c r="F4" s="5" t="inlineStr">
        <is>
          <t>CONTRATO</t>
        </is>
      </c>
      <c r="G4" s="6">
        <f>'AGO-27'!G4</f>
        <v/>
      </c>
      <c r="H4" s="7" t="n"/>
      <c r="I4" s="7" t="n"/>
    </row>
    <row r="5">
      <c r="A5" s="5" t="inlineStr">
        <is>
          <t>UNIDADE</t>
        </is>
      </c>
      <c r="B5" s="6">
        <f>'AGO-27'!B5</f>
        <v/>
      </c>
      <c r="C5" s="7" t="n"/>
      <c r="D5" s="7" t="n"/>
      <c r="E5" s="7" t="n"/>
      <c r="F5" s="5" t="inlineStr">
        <is>
          <t>TERMO</t>
        </is>
      </c>
      <c r="G5" s="6">
        <f>'AGO-27'!G5</f>
        <v/>
      </c>
      <c r="H5" s="7" t="n"/>
      <c r="I5" s="7" t="n"/>
    </row>
    <row r="6">
      <c r="A6" s="5" t="inlineStr">
        <is>
          <t>MÊS/ANO</t>
        </is>
      </c>
      <c r="B6" s="8">
        <f>EDATE('AGO-27'!B6,1)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'AGO-27'!A25</f>
        <v/>
      </c>
      <c r="B25" s="7" t="n"/>
      <c r="C25" s="23">
        <f>'AGO-27'!C25</f>
        <v/>
      </c>
      <c r="D25" s="24">
        <f>'AGO-27'!D25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'AGO-27'!A26</f>
        <v/>
      </c>
      <c r="B26" s="7" t="n"/>
      <c r="C26" s="23">
        <f>'AGO-27'!C26</f>
        <v/>
      </c>
      <c r="D26" s="24">
        <f>'AGO-27'!D26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'AGO-27'!A27</f>
        <v/>
      </c>
      <c r="B27" s="7" t="n"/>
      <c r="C27" s="23">
        <f>'AGO-27'!C27</f>
        <v/>
      </c>
      <c r="D27" s="24">
        <f>'AGO-27'!D27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'AGO-27'!A28</f>
        <v/>
      </c>
      <c r="B28" s="7" t="n"/>
      <c r="C28" s="23">
        <f>'AGO-27'!C28</f>
        <v/>
      </c>
      <c r="D28" s="24">
        <f>'AGO-27'!D28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'AGO-27'!A29</f>
        <v/>
      </c>
      <c r="B29" s="7" t="n"/>
      <c r="C29" s="23">
        <f>'AGO-27'!C29</f>
        <v/>
      </c>
      <c r="D29" s="24">
        <f>'AGO-27'!D29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'AGO-27'!A30</f>
        <v/>
      </c>
      <c r="B30" s="7" t="n"/>
      <c r="C30" s="23">
        <f>'AGO-27'!C30</f>
        <v/>
      </c>
      <c r="D30" s="24">
        <f>'AGO-27'!D30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'AGO-27'!C35</f>
        <v/>
      </c>
      <c r="D35" s="36">
        <f>A35*C35</f>
        <v/>
      </c>
      <c r="E35" s="26" t="n">
        <v>0</v>
      </c>
      <c r="F35" s="35">
        <f>'AGO-27'!F35</f>
        <v/>
      </c>
      <c r="G35" s="36">
        <f>E35*F35</f>
        <v/>
      </c>
      <c r="H35" s="36">
        <f>'AGO-27'!H35+D35-G35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'AGO-27'!D40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'AGO-27'!B50</f>
        <v/>
      </c>
      <c r="C50" s="51" t="n"/>
      <c r="D50" s="51" t="n"/>
      <c r="E50" s="51" t="n"/>
      <c r="F50" s="51" t="n"/>
      <c r="G50" s="52">
        <f>'AGO-27'!G50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'SET-27'!I2</f>
        <v/>
      </c>
    </row>
    <row r="3">
      <c r="A3" s="5" t="inlineStr">
        <is>
          <t>OBJETO</t>
        </is>
      </c>
      <c r="B3" s="6">
        <f>'SET-27'!B3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'SET-27'!B4</f>
        <v/>
      </c>
      <c r="C4" s="7" t="n"/>
      <c r="D4" s="7" t="n"/>
      <c r="E4" s="7" t="n"/>
      <c r="F4" s="5" t="inlineStr">
        <is>
          <t>CONTRATO</t>
        </is>
      </c>
      <c r="G4" s="6">
        <f>'SET-27'!G4</f>
        <v/>
      </c>
      <c r="H4" s="7" t="n"/>
      <c r="I4" s="7" t="n"/>
    </row>
    <row r="5">
      <c r="A5" s="5" t="inlineStr">
        <is>
          <t>UNIDADE</t>
        </is>
      </c>
      <c r="B5" s="6">
        <f>'SET-27'!B5</f>
        <v/>
      </c>
      <c r="C5" s="7" t="n"/>
      <c r="D5" s="7" t="n"/>
      <c r="E5" s="7" t="n"/>
      <c r="F5" s="5" t="inlineStr">
        <is>
          <t>TERMO</t>
        </is>
      </c>
      <c r="G5" s="6">
        <f>'SET-27'!G5</f>
        <v/>
      </c>
      <c r="H5" s="7" t="n"/>
      <c r="I5" s="7" t="n"/>
    </row>
    <row r="6">
      <c r="A6" s="5" t="inlineStr">
        <is>
          <t>MÊS/ANO</t>
        </is>
      </c>
      <c r="B6" s="8">
        <f>EDATE('SET-27'!B6,1)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'SET-27'!A25</f>
        <v/>
      </c>
      <c r="B25" s="7" t="n"/>
      <c r="C25" s="23">
        <f>'SET-27'!C25</f>
        <v/>
      </c>
      <c r="D25" s="24">
        <f>'SET-27'!D25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'SET-27'!A26</f>
        <v/>
      </c>
      <c r="B26" s="7" t="n"/>
      <c r="C26" s="23">
        <f>'SET-27'!C26</f>
        <v/>
      </c>
      <c r="D26" s="24">
        <f>'SET-27'!D26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'SET-27'!A27</f>
        <v/>
      </c>
      <c r="B27" s="7" t="n"/>
      <c r="C27" s="23">
        <f>'SET-27'!C27</f>
        <v/>
      </c>
      <c r="D27" s="24">
        <f>'SET-27'!D27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'SET-27'!A28</f>
        <v/>
      </c>
      <c r="B28" s="7" t="n"/>
      <c r="C28" s="23">
        <f>'SET-27'!C28</f>
        <v/>
      </c>
      <c r="D28" s="24">
        <f>'SET-27'!D28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'SET-27'!A29</f>
        <v/>
      </c>
      <c r="B29" s="7" t="n"/>
      <c r="C29" s="23">
        <f>'SET-27'!C29</f>
        <v/>
      </c>
      <c r="D29" s="24">
        <f>'SET-27'!D29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'SET-27'!A30</f>
        <v/>
      </c>
      <c r="B30" s="7" t="n"/>
      <c r="C30" s="23">
        <f>'SET-27'!C30</f>
        <v/>
      </c>
      <c r="D30" s="24">
        <f>'SET-27'!D30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'SET-27'!C35</f>
        <v/>
      </c>
      <c r="D35" s="36">
        <f>A35*C35</f>
        <v/>
      </c>
      <c r="E35" s="26" t="n">
        <v>0</v>
      </c>
      <c r="F35" s="35">
        <f>'SET-27'!F35</f>
        <v/>
      </c>
      <c r="G35" s="36">
        <f>E35*F35</f>
        <v/>
      </c>
      <c r="H35" s="36">
        <f>'SET-27'!H35+D35-G35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'SET-27'!D40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'SET-27'!B50</f>
        <v/>
      </c>
      <c r="C50" s="51" t="n"/>
      <c r="D50" s="51" t="n"/>
      <c r="E50" s="51" t="n"/>
      <c r="F50" s="51" t="n"/>
      <c r="G50" s="52">
        <f>'SET-27'!G50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'OUT-27'!I2</f>
        <v/>
      </c>
    </row>
    <row r="3">
      <c r="A3" s="5" t="inlineStr">
        <is>
          <t>OBJETO</t>
        </is>
      </c>
      <c r="B3" s="6">
        <f>'OUT-27'!B3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'OUT-27'!B4</f>
        <v/>
      </c>
      <c r="C4" s="7" t="n"/>
      <c r="D4" s="7" t="n"/>
      <c r="E4" s="7" t="n"/>
      <c r="F4" s="5" t="inlineStr">
        <is>
          <t>CONTRATO</t>
        </is>
      </c>
      <c r="G4" s="6">
        <f>'OUT-27'!G4</f>
        <v/>
      </c>
      <c r="H4" s="7" t="n"/>
      <c r="I4" s="7" t="n"/>
    </row>
    <row r="5">
      <c r="A5" s="5" t="inlineStr">
        <is>
          <t>UNIDADE</t>
        </is>
      </c>
      <c r="B5" s="6">
        <f>'OUT-27'!B5</f>
        <v/>
      </c>
      <c r="C5" s="7" t="n"/>
      <c r="D5" s="7" t="n"/>
      <c r="E5" s="7" t="n"/>
      <c r="F5" s="5" t="inlineStr">
        <is>
          <t>TERMO</t>
        </is>
      </c>
      <c r="G5" s="6">
        <f>'OUT-27'!G5</f>
        <v/>
      </c>
      <c r="H5" s="7" t="n"/>
      <c r="I5" s="7" t="n"/>
    </row>
    <row r="6">
      <c r="A6" s="5" t="inlineStr">
        <is>
          <t>MÊS/ANO</t>
        </is>
      </c>
      <c r="B6" s="8">
        <f>EDATE('OUT-27'!B6,1)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'OUT-27'!A25</f>
        <v/>
      </c>
      <c r="B25" s="7" t="n"/>
      <c r="C25" s="23">
        <f>'OUT-27'!C25</f>
        <v/>
      </c>
      <c r="D25" s="24">
        <f>'OUT-27'!D25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'OUT-27'!A26</f>
        <v/>
      </c>
      <c r="B26" s="7" t="n"/>
      <c r="C26" s="23">
        <f>'OUT-27'!C26</f>
        <v/>
      </c>
      <c r="D26" s="24">
        <f>'OUT-27'!D26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'OUT-27'!A27</f>
        <v/>
      </c>
      <c r="B27" s="7" t="n"/>
      <c r="C27" s="23">
        <f>'OUT-27'!C27</f>
        <v/>
      </c>
      <c r="D27" s="24">
        <f>'OUT-27'!D27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'OUT-27'!A28</f>
        <v/>
      </c>
      <c r="B28" s="7" t="n"/>
      <c r="C28" s="23">
        <f>'OUT-27'!C28</f>
        <v/>
      </c>
      <c r="D28" s="24">
        <f>'OUT-27'!D28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'OUT-27'!A29</f>
        <v/>
      </c>
      <c r="B29" s="7" t="n"/>
      <c r="C29" s="23">
        <f>'OUT-27'!C29</f>
        <v/>
      </c>
      <c r="D29" s="24">
        <f>'OUT-27'!D29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'OUT-27'!A30</f>
        <v/>
      </c>
      <c r="B30" s="7" t="n"/>
      <c r="C30" s="23">
        <f>'OUT-27'!C30</f>
        <v/>
      </c>
      <c r="D30" s="24">
        <f>'OUT-27'!D30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'OUT-27'!C35</f>
        <v/>
      </c>
      <c r="D35" s="36">
        <f>A35*C35</f>
        <v/>
      </c>
      <c r="E35" s="26" t="n">
        <v>0</v>
      </c>
      <c r="F35" s="35">
        <f>'OUT-27'!F35</f>
        <v/>
      </c>
      <c r="G35" s="36">
        <f>E35*F35</f>
        <v/>
      </c>
      <c r="H35" s="36">
        <f>'OUT-27'!H35+D35-G35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'OUT-27'!D40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'OUT-27'!B50</f>
        <v/>
      </c>
      <c r="C50" s="51" t="n"/>
      <c r="D50" s="51" t="n"/>
      <c r="E50" s="51" t="n"/>
      <c r="F50" s="51" t="n"/>
      <c r="G50" s="52">
        <f>'OUT-27'!G50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'NOV-27'!I2</f>
        <v/>
      </c>
    </row>
    <row r="3">
      <c r="A3" s="5" t="inlineStr">
        <is>
          <t>OBJETO</t>
        </is>
      </c>
      <c r="B3" s="6">
        <f>'NOV-27'!B3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'NOV-27'!B4</f>
        <v/>
      </c>
      <c r="C4" s="7" t="n"/>
      <c r="D4" s="7" t="n"/>
      <c r="E4" s="7" t="n"/>
      <c r="F4" s="5" t="inlineStr">
        <is>
          <t>CONTRATO</t>
        </is>
      </c>
      <c r="G4" s="6">
        <f>'NOV-27'!G4</f>
        <v/>
      </c>
      <c r="H4" s="7" t="n"/>
      <c r="I4" s="7" t="n"/>
    </row>
    <row r="5">
      <c r="A5" s="5" t="inlineStr">
        <is>
          <t>UNIDADE</t>
        </is>
      </c>
      <c r="B5" s="6">
        <f>'NOV-27'!B5</f>
        <v/>
      </c>
      <c r="C5" s="7" t="n"/>
      <c r="D5" s="7" t="n"/>
      <c r="E5" s="7" t="n"/>
      <c r="F5" s="5" t="inlineStr">
        <is>
          <t>TERMO</t>
        </is>
      </c>
      <c r="G5" s="6">
        <f>'NOV-27'!G5</f>
        <v/>
      </c>
      <c r="H5" s="7" t="n"/>
      <c r="I5" s="7" t="n"/>
    </row>
    <row r="6">
      <c r="A6" s="5" t="inlineStr">
        <is>
          <t>MÊS/ANO</t>
        </is>
      </c>
      <c r="B6" s="8">
        <f>EDATE('NOV-27'!B6,1)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'NOV-27'!A25</f>
        <v/>
      </c>
      <c r="B25" s="7" t="n"/>
      <c r="C25" s="23">
        <f>'NOV-27'!C25</f>
        <v/>
      </c>
      <c r="D25" s="24">
        <f>'NOV-27'!D25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'NOV-27'!A26</f>
        <v/>
      </c>
      <c r="B26" s="7" t="n"/>
      <c r="C26" s="23">
        <f>'NOV-27'!C26</f>
        <v/>
      </c>
      <c r="D26" s="24">
        <f>'NOV-27'!D26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'NOV-27'!A27</f>
        <v/>
      </c>
      <c r="B27" s="7" t="n"/>
      <c r="C27" s="23">
        <f>'NOV-27'!C27</f>
        <v/>
      </c>
      <c r="D27" s="24">
        <f>'NOV-27'!D27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'NOV-27'!A28</f>
        <v/>
      </c>
      <c r="B28" s="7" t="n"/>
      <c r="C28" s="23">
        <f>'NOV-27'!C28</f>
        <v/>
      </c>
      <c r="D28" s="24">
        <f>'NOV-27'!D28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'NOV-27'!A29</f>
        <v/>
      </c>
      <c r="B29" s="7" t="n"/>
      <c r="C29" s="23">
        <f>'NOV-27'!C29</f>
        <v/>
      </c>
      <c r="D29" s="24">
        <f>'NOV-27'!D29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'NOV-27'!A30</f>
        <v/>
      </c>
      <c r="B30" s="7" t="n"/>
      <c r="C30" s="23">
        <f>'NOV-27'!C30</f>
        <v/>
      </c>
      <c r="D30" s="24">
        <f>'NOV-27'!D30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'NOV-27'!C35</f>
        <v/>
      </c>
      <c r="D35" s="36">
        <f>A35*C35</f>
        <v/>
      </c>
      <c r="E35" s="26" t="n">
        <v>0</v>
      </c>
      <c r="F35" s="35">
        <f>'NOV-27'!F35</f>
        <v/>
      </c>
      <c r="G35" s="36">
        <f>E35*F35</f>
        <v/>
      </c>
      <c r="H35" s="36">
        <f>'NOV-27'!H35+D35-G35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'NOV-27'!D40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'NOV-27'!B50</f>
        <v/>
      </c>
      <c r="C50" s="51" t="n"/>
      <c r="D50" s="51" t="n"/>
      <c r="E50" s="51" t="n"/>
      <c r="F50" s="51" t="n"/>
      <c r="G50" s="52">
        <f>'NOV-27'!G50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'DEZ-27'!I2</f>
        <v/>
      </c>
    </row>
    <row r="3">
      <c r="A3" s="5" t="inlineStr">
        <is>
          <t>OBJETO</t>
        </is>
      </c>
      <c r="B3" s="6">
        <f>'DEZ-27'!B3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'DEZ-27'!B4</f>
        <v/>
      </c>
      <c r="C4" s="7" t="n"/>
      <c r="D4" s="7" t="n"/>
      <c r="E4" s="7" t="n"/>
      <c r="F4" s="5" t="inlineStr">
        <is>
          <t>CONTRATO</t>
        </is>
      </c>
      <c r="G4" s="6">
        <f>'DEZ-27'!G4</f>
        <v/>
      </c>
      <c r="H4" s="7" t="n"/>
      <c r="I4" s="7" t="n"/>
    </row>
    <row r="5">
      <c r="A5" s="5" t="inlineStr">
        <is>
          <t>UNIDADE</t>
        </is>
      </c>
      <c r="B5" s="6">
        <f>'DEZ-27'!B5</f>
        <v/>
      </c>
      <c r="C5" s="7" t="n"/>
      <c r="D5" s="7" t="n"/>
      <c r="E5" s="7" t="n"/>
      <c r="F5" s="5" t="inlineStr">
        <is>
          <t>TERMO</t>
        </is>
      </c>
      <c r="G5" s="6">
        <f>'DEZ-27'!G5</f>
        <v/>
      </c>
      <c r="H5" s="7" t="n"/>
      <c r="I5" s="7" t="n"/>
    </row>
    <row r="6">
      <c r="A6" s="5" t="inlineStr">
        <is>
          <t>MÊS/ANO</t>
        </is>
      </c>
      <c r="B6" s="8">
        <f>EDATE('DEZ-27'!B6,1)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'DEZ-27'!A25</f>
        <v/>
      </c>
      <c r="B25" s="7" t="n"/>
      <c r="C25" s="23">
        <f>'DEZ-27'!C25</f>
        <v/>
      </c>
      <c r="D25" s="24">
        <f>'DEZ-27'!D25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'DEZ-27'!A26</f>
        <v/>
      </c>
      <c r="B26" s="7" t="n"/>
      <c r="C26" s="23">
        <f>'DEZ-27'!C26</f>
        <v/>
      </c>
      <c r="D26" s="24">
        <f>'DEZ-27'!D26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'DEZ-27'!A27</f>
        <v/>
      </c>
      <c r="B27" s="7" t="n"/>
      <c r="C27" s="23">
        <f>'DEZ-27'!C27</f>
        <v/>
      </c>
      <c r="D27" s="24">
        <f>'DEZ-27'!D27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'DEZ-27'!A28</f>
        <v/>
      </c>
      <c r="B28" s="7" t="n"/>
      <c r="C28" s="23">
        <f>'DEZ-27'!C28</f>
        <v/>
      </c>
      <c r="D28" s="24">
        <f>'DEZ-27'!D28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'DEZ-27'!A29</f>
        <v/>
      </c>
      <c r="B29" s="7" t="n"/>
      <c r="C29" s="23">
        <f>'DEZ-27'!C29</f>
        <v/>
      </c>
      <c r="D29" s="24">
        <f>'DEZ-27'!D29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'DEZ-27'!A30</f>
        <v/>
      </c>
      <c r="B30" s="7" t="n"/>
      <c r="C30" s="23">
        <f>'DEZ-27'!C30</f>
        <v/>
      </c>
      <c r="D30" s="24">
        <f>'DEZ-27'!D30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'DEZ-27'!C35</f>
        <v/>
      </c>
      <c r="D35" s="36">
        <f>A35*C35</f>
        <v/>
      </c>
      <c r="E35" s="26" t="n">
        <v>0</v>
      </c>
      <c r="F35" s="35">
        <f>'DEZ-27'!F35</f>
        <v/>
      </c>
      <c r="G35" s="36">
        <f>E35*F35</f>
        <v/>
      </c>
      <c r="H35" s="36">
        <f>'DEZ-27'!H35+D35-G35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'DEZ-27'!D40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'DEZ-27'!B50</f>
        <v/>
      </c>
      <c r="C50" s="51" t="n"/>
      <c r="D50" s="51" t="n"/>
      <c r="E50" s="51" t="n"/>
      <c r="F50" s="51" t="n"/>
      <c r="G50" s="52">
        <f>'DEZ-27'!G50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'JAN-28'!I2</f>
        <v/>
      </c>
    </row>
    <row r="3">
      <c r="A3" s="5" t="inlineStr">
        <is>
          <t>OBJETO</t>
        </is>
      </c>
      <c r="B3" s="6">
        <f>'JAN-28'!B3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'JAN-28'!B4</f>
        <v/>
      </c>
      <c r="C4" s="7" t="n"/>
      <c r="D4" s="7" t="n"/>
      <c r="E4" s="7" t="n"/>
      <c r="F4" s="5" t="inlineStr">
        <is>
          <t>CONTRATO</t>
        </is>
      </c>
      <c r="G4" s="6">
        <f>'JAN-28'!G4</f>
        <v/>
      </c>
      <c r="H4" s="7" t="n"/>
      <c r="I4" s="7" t="n"/>
    </row>
    <row r="5">
      <c r="A5" s="5" t="inlineStr">
        <is>
          <t>UNIDADE</t>
        </is>
      </c>
      <c r="B5" s="6">
        <f>'JAN-28'!B5</f>
        <v/>
      </c>
      <c r="C5" s="7" t="n"/>
      <c r="D5" s="7" t="n"/>
      <c r="E5" s="7" t="n"/>
      <c r="F5" s="5" t="inlineStr">
        <is>
          <t>TERMO</t>
        </is>
      </c>
      <c r="G5" s="6">
        <f>'JAN-28'!G5</f>
        <v/>
      </c>
      <c r="H5" s="7" t="n"/>
      <c r="I5" s="7" t="n"/>
    </row>
    <row r="6">
      <c r="A6" s="5" t="inlineStr">
        <is>
          <t>MÊS/ANO</t>
        </is>
      </c>
      <c r="B6" s="8">
        <f>EDATE('JAN-28'!B6,1)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'JAN-28'!A25</f>
        <v/>
      </c>
      <c r="B25" s="7" t="n"/>
      <c r="C25" s="23">
        <f>'JAN-28'!C25</f>
        <v/>
      </c>
      <c r="D25" s="24">
        <f>'JAN-28'!D25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'JAN-28'!A26</f>
        <v/>
      </c>
      <c r="B26" s="7" t="n"/>
      <c r="C26" s="23">
        <f>'JAN-28'!C26</f>
        <v/>
      </c>
      <c r="D26" s="24">
        <f>'JAN-28'!D26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'JAN-28'!A27</f>
        <v/>
      </c>
      <c r="B27" s="7" t="n"/>
      <c r="C27" s="23">
        <f>'JAN-28'!C27</f>
        <v/>
      </c>
      <c r="D27" s="24">
        <f>'JAN-28'!D27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'JAN-28'!A28</f>
        <v/>
      </c>
      <c r="B28" s="7" t="n"/>
      <c r="C28" s="23">
        <f>'JAN-28'!C28</f>
        <v/>
      </c>
      <c r="D28" s="24">
        <f>'JAN-28'!D28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'JAN-28'!A29</f>
        <v/>
      </c>
      <c r="B29" s="7" t="n"/>
      <c r="C29" s="23">
        <f>'JAN-28'!C29</f>
        <v/>
      </c>
      <c r="D29" s="24">
        <f>'JAN-28'!D29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'JAN-28'!A30</f>
        <v/>
      </c>
      <c r="B30" s="7" t="n"/>
      <c r="C30" s="23">
        <f>'JAN-28'!C30</f>
        <v/>
      </c>
      <c r="D30" s="24">
        <f>'JAN-28'!D30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'JAN-28'!C35</f>
        <v/>
      </c>
      <c r="D35" s="36">
        <f>A35*C35</f>
        <v/>
      </c>
      <c r="E35" s="26" t="n">
        <v>0</v>
      </c>
      <c r="F35" s="35">
        <f>'JAN-28'!F35</f>
        <v/>
      </c>
      <c r="G35" s="36">
        <f>E35*F35</f>
        <v/>
      </c>
      <c r="H35" s="36">
        <f>'JAN-28'!H35+D35-G35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'JAN-28'!D40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'JAN-28'!B50</f>
        <v/>
      </c>
      <c r="C50" s="51" t="n"/>
      <c r="D50" s="51" t="n"/>
      <c r="E50" s="51" t="n"/>
      <c r="F50" s="51" t="n"/>
      <c r="G50" s="52">
        <f>'JAN-28'!G50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'FEV-28'!I2</f>
        <v/>
      </c>
    </row>
    <row r="3">
      <c r="A3" s="5" t="inlineStr">
        <is>
          <t>OBJETO</t>
        </is>
      </c>
      <c r="B3" s="6">
        <f>'FEV-28'!B3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'FEV-28'!B4</f>
        <v/>
      </c>
      <c r="C4" s="7" t="n"/>
      <c r="D4" s="7" t="n"/>
      <c r="E4" s="7" t="n"/>
      <c r="F4" s="5" t="inlineStr">
        <is>
          <t>CONTRATO</t>
        </is>
      </c>
      <c r="G4" s="6">
        <f>'FEV-28'!G4</f>
        <v/>
      </c>
      <c r="H4" s="7" t="n"/>
      <c r="I4" s="7" t="n"/>
    </row>
    <row r="5">
      <c r="A5" s="5" t="inlineStr">
        <is>
          <t>UNIDADE</t>
        </is>
      </c>
      <c r="B5" s="6">
        <f>'FEV-28'!B5</f>
        <v/>
      </c>
      <c r="C5" s="7" t="n"/>
      <c r="D5" s="7" t="n"/>
      <c r="E5" s="7" t="n"/>
      <c r="F5" s="5" t="inlineStr">
        <is>
          <t>TERMO</t>
        </is>
      </c>
      <c r="G5" s="6">
        <f>'FEV-28'!G5</f>
        <v/>
      </c>
      <c r="H5" s="7" t="n"/>
      <c r="I5" s="7" t="n"/>
    </row>
    <row r="6">
      <c r="A6" s="5" t="inlineStr">
        <is>
          <t>MÊS/ANO</t>
        </is>
      </c>
      <c r="B6" s="8">
        <f>EDATE('FEV-28'!B6,1)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'FEV-28'!A25</f>
        <v/>
      </c>
      <c r="B25" s="7" t="n"/>
      <c r="C25" s="23">
        <f>'FEV-28'!C25</f>
        <v/>
      </c>
      <c r="D25" s="24">
        <f>'FEV-28'!D25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'FEV-28'!A26</f>
        <v/>
      </c>
      <c r="B26" s="7" t="n"/>
      <c r="C26" s="23">
        <f>'FEV-28'!C26</f>
        <v/>
      </c>
      <c r="D26" s="24">
        <f>'FEV-28'!D26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'FEV-28'!A27</f>
        <v/>
      </c>
      <c r="B27" s="7" t="n"/>
      <c r="C27" s="23">
        <f>'FEV-28'!C27</f>
        <v/>
      </c>
      <c r="D27" s="24">
        <f>'FEV-28'!D27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'FEV-28'!A28</f>
        <v/>
      </c>
      <c r="B28" s="7" t="n"/>
      <c r="C28" s="23">
        <f>'FEV-28'!C28</f>
        <v/>
      </c>
      <c r="D28" s="24">
        <f>'FEV-28'!D28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'FEV-28'!A29</f>
        <v/>
      </c>
      <c r="B29" s="7" t="n"/>
      <c r="C29" s="23">
        <f>'FEV-28'!C29</f>
        <v/>
      </c>
      <c r="D29" s="24">
        <f>'FEV-28'!D29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'FEV-28'!A30</f>
        <v/>
      </c>
      <c r="B30" s="7" t="n"/>
      <c r="C30" s="23">
        <f>'FEV-28'!C30</f>
        <v/>
      </c>
      <c r="D30" s="24">
        <f>'FEV-28'!D30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'FEV-28'!C35</f>
        <v/>
      </c>
      <c r="D35" s="36">
        <f>A35*C35</f>
        <v/>
      </c>
      <c r="E35" s="26" t="n">
        <v>0</v>
      </c>
      <c r="F35" s="35">
        <f>'FEV-28'!F35</f>
        <v/>
      </c>
      <c r="G35" s="36">
        <f>E35*F35</f>
        <v/>
      </c>
      <c r="H35" s="36">
        <f>'FEV-28'!H35+D35-G35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'FEV-28'!D40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'FEV-28'!B50</f>
        <v/>
      </c>
      <c r="C50" s="51" t="n"/>
      <c r="D50" s="51" t="n"/>
      <c r="E50" s="51" t="n"/>
      <c r="F50" s="51" t="n"/>
      <c r="G50" s="52">
        <f>'FEV-28'!G50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'MAR-28'!I2</f>
        <v/>
      </c>
    </row>
    <row r="3">
      <c r="A3" s="5" t="inlineStr">
        <is>
          <t>OBJETO</t>
        </is>
      </c>
      <c r="B3" s="6">
        <f>'MAR-28'!B3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'MAR-28'!B4</f>
        <v/>
      </c>
      <c r="C4" s="7" t="n"/>
      <c r="D4" s="7" t="n"/>
      <c r="E4" s="7" t="n"/>
      <c r="F4" s="5" t="inlineStr">
        <is>
          <t>CONTRATO</t>
        </is>
      </c>
      <c r="G4" s="6">
        <f>'MAR-28'!G4</f>
        <v/>
      </c>
      <c r="H4" s="7" t="n"/>
      <c r="I4" s="7" t="n"/>
    </row>
    <row r="5">
      <c r="A5" s="5" t="inlineStr">
        <is>
          <t>UNIDADE</t>
        </is>
      </c>
      <c r="B5" s="6">
        <f>'MAR-28'!B5</f>
        <v/>
      </c>
      <c r="C5" s="7" t="n"/>
      <c r="D5" s="7" t="n"/>
      <c r="E5" s="7" t="n"/>
      <c r="F5" s="5" t="inlineStr">
        <is>
          <t>TERMO</t>
        </is>
      </c>
      <c r="G5" s="6">
        <f>'MAR-28'!G5</f>
        <v/>
      </c>
      <c r="H5" s="7" t="n"/>
      <c r="I5" s="7" t="n"/>
    </row>
    <row r="6">
      <c r="A6" s="5" t="inlineStr">
        <is>
          <t>MÊS/ANO</t>
        </is>
      </c>
      <c r="B6" s="8">
        <f>EDATE('MAR-28'!B6,1)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'MAR-28'!A25</f>
        <v/>
      </c>
      <c r="B25" s="7" t="n"/>
      <c r="C25" s="23">
        <f>'MAR-28'!C25</f>
        <v/>
      </c>
      <c r="D25" s="24">
        <f>'MAR-28'!D25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'MAR-28'!A26</f>
        <v/>
      </c>
      <c r="B26" s="7" t="n"/>
      <c r="C26" s="23">
        <f>'MAR-28'!C26</f>
        <v/>
      </c>
      <c r="D26" s="24">
        <f>'MAR-28'!D26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'MAR-28'!A27</f>
        <v/>
      </c>
      <c r="B27" s="7" t="n"/>
      <c r="C27" s="23">
        <f>'MAR-28'!C27</f>
        <v/>
      </c>
      <c r="D27" s="24">
        <f>'MAR-28'!D27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'MAR-28'!A28</f>
        <v/>
      </c>
      <c r="B28" s="7" t="n"/>
      <c r="C28" s="23">
        <f>'MAR-28'!C28</f>
        <v/>
      </c>
      <c r="D28" s="24">
        <f>'MAR-28'!D28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'MAR-28'!A29</f>
        <v/>
      </c>
      <c r="B29" s="7" t="n"/>
      <c r="C29" s="23">
        <f>'MAR-28'!C29</f>
        <v/>
      </c>
      <c r="D29" s="24">
        <f>'MAR-28'!D29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'MAR-28'!A30</f>
        <v/>
      </c>
      <c r="B30" s="7" t="n"/>
      <c r="C30" s="23">
        <f>'MAR-28'!C30</f>
        <v/>
      </c>
      <c r="D30" s="24">
        <f>'MAR-28'!D30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'MAR-28'!C35</f>
        <v/>
      </c>
      <c r="D35" s="36">
        <f>A35*C35</f>
        <v/>
      </c>
      <c r="E35" s="26" t="n">
        <v>0</v>
      </c>
      <c r="F35" s="35">
        <f>'MAR-28'!F35</f>
        <v/>
      </c>
      <c r="G35" s="36">
        <f>E35*F35</f>
        <v/>
      </c>
      <c r="H35" s="36">
        <f>'MAR-28'!H35+D35-G35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'MAR-28'!D40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'MAR-28'!B50</f>
        <v/>
      </c>
      <c r="C50" s="51" t="n"/>
      <c r="D50" s="51" t="n"/>
      <c r="E50" s="51" t="n"/>
      <c r="F50" s="51" t="n"/>
      <c r="G50" s="52">
        <f>'MAR-28'!G50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'ABR-28'!I2</f>
        <v/>
      </c>
    </row>
    <row r="3">
      <c r="A3" s="5" t="inlineStr">
        <is>
          <t>OBJETO</t>
        </is>
      </c>
      <c r="B3" s="6">
        <f>'ABR-28'!B3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'ABR-28'!B4</f>
        <v/>
      </c>
      <c r="C4" s="7" t="n"/>
      <c r="D4" s="7" t="n"/>
      <c r="E4" s="7" t="n"/>
      <c r="F4" s="5" t="inlineStr">
        <is>
          <t>CONTRATO</t>
        </is>
      </c>
      <c r="G4" s="6">
        <f>'ABR-28'!G4</f>
        <v/>
      </c>
      <c r="H4" s="7" t="n"/>
      <c r="I4" s="7" t="n"/>
    </row>
    <row r="5">
      <c r="A5" s="5" t="inlineStr">
        <is>
          <t>UNIDADE</t>
        </is>
      </c>
      <c r="B5" s="6">
        <f>'ABR-28'!B5</f>
        <v/>
      </c>
      <c r="C5" s="7" t="n"/>
      <c r="D5" s="7" t="n"/>
      <c r="E5" s="7" t="n"/>
      <c r="F5" s="5" t="inlineStr">
        <is>
          <t>TERMO</t>
        </is>
      </c>
      <c r="G5" s="6">
        <f>'ABR-28'!G5</f>
        <v/>
      </c>
      <c r="H5" s="7" t="n"/>
      <c r="I5" s="7" t="n"/>
    </row>
    <row r="6">
      <c r="A6" s="5" t="inlineStr">
        <is>
          <t>MÊS/ANO</t>
        </is>
      </c>
      <c r="B6" s="8">
        <f>EDATE('ABR-28'!B6,1)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'ABR-28'!A25</f>
        <v/>
      </c>
      <c r="B25" s="7" t="n"/>
      <c r="C25" s="23">
        <f>'ABR-28'!C25</f>
        <v/>
      </c>
      <c r="D25" s="24">
        <f>'ABR-28'!D25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'ABR-28'!A26</f>
        <v/>
      </c>
      <c r="B26" s="7" t="n"/>
      <c r="C26" s="23">
        <f>'ABR-28'!C26</f>
        <v/>
      </c>
      <c r="D26" s="24">
        <f>'ABR-28'!D26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'ABR-28'!A27</f>
        <v/>
      </c>
      <c r="B27" s="7" t="n"/>
      <c r="C27" s="23">
        <f>'ABR-28'!C27</f>
        <v/>
      </c>
      <c r="D27" s="24">
        <f>'ABR-28'!D27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'ABR-28'!A28</f>
        <v/>
      </c>
      <c r="B28" s="7" t="n"/>
      <c r="C28" s="23">
        <f>'ABR-28'!C28</f>
        <v/>
      </c>
      <c r="D28" s="24">
        <f>'ABR-28'!D28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'ABR-28'!A29</f>
        <v/>
      </c>
      <c r="B29" s="7" t="n"/>
      <c r="C29" s="23">
        <f>'ABR-28'!C29</f>
        <v/>
      </c>
      <c r="D29" s="24">
        <f>'ABR-28'!D29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'ABR-28'!A30</f>
        <v/>
      </c>
      <c r="B30" s="7" t="n"/>
      <c r="C30" s="23">
        <f>'ABR-28'!C30</f>
        <v/>
      </c>
      <c r="D30" s="24">
        <f>'ABR-28'!D30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'ABR-28'!C35</f>
        <v/>
      </c>
      <c r="D35" s="36">
        <f>A35*C35</f>
        <v/>
      </c>
      <c r="E35" s="26" t="n">
        <v>0</v>
      </c>
      <c r="F35" s="35">
        <f>'ABR-28'!F35</f>
        <v/>
      </c>
      <c r="G35" s="36">
        <f>E35*F35</f>
        <v/>
      </c>
      <c r="H35" s="36">
        <f>'ABR-28'!H35+D35-G35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'ABR-28'!D40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'ABR-28'!B50</f>
        <v/>
      </c>
      <c r="C50" s="51" t="n"/>
      <c r="D50" s="51" t="n"/>
      <c r="E50" s="51" t="n"/>
      <c r="F50" s="51" t="n"/>
      <c r="G50" s="52">
        <f>'ABR-28'!G50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'MAI-28'!I2</f>
        <v/>
      </c>
    </row>
    <row r="3">
      <c r="A3" s="5" t="inlineStr">
        <is>
          <t>OBJETO</t>
        </is>
      </c>
      <c r="B3" s="6">
        <f>'MAI-28'!B3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'MAI-28'!B4</f>
        <v/>
      </c>
      <c r="C4" s="7" t="n"/>
      <c r="D4" s="7" t="n"/>
      <c r="E4" s="7" t="n"/>
      <c r="F4" s="5" t="inlineStr">
        <is>
          <t>CONTRATO</t>
        </is>
      </c>
      <c r="G4" s="6">
        <f>'MAI-28'!G4</f>
        <v/>
      </c>
      <c r="H4" s="7" t="n"/>
      <c r="I4" s="7" t="n"/>
    </row>
    <row r="5">
      <c r="A5" s="5" t="inlineStr">
        <is>
          <t>UNIDADE</t>
        </is>
      </c>
      <c r="B5" s="6">
        <f>'MAI-28'!B5</f>
        <v/>
      </c>
      <c r="C5" s="7" t="n"/>
      <c r="D5" s="7" t="n"/>
      <c r="E5" s="7" t="n"/>
      <c r="F5" s="5" t="inlineStr">
        <is>
          <t>TERMO</t>
        </is>
      </c>
      <c r="G5" s="6">
        <f>'MAI-28'!G5</f>
        <v/>
      </c>
      <c r="H5" s="7" t="n"/>
      <c r="I5" s="7" t="n"/>
    </row>
    <row r="6">
      <c r="A6" s="5" t="inlineStr">
        <is>
          <t>MÊS/ANO</t>
        </is>
      </c>
      <c r="B6" s="8">
        <f>EDATE('MAI-28'!B6,1)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'MAI-28'!A25</f>
        <v/>
      </c>
      <c r="B25" s="7" t="n"/>
      <c r="C25" s="23">
        <f>'MAI-28'!C25</f>
        <v/>
      </c>
      <c r="D25" s="24">
        <f>'MAI-28'!D25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'MAI-28'!A26</f>
        <v/>
      </c>
      <c r="B26" s="7" t="n"/>
      <c r="C26" s="23">
        <f>'MAI-28'!C26</f>
        <v/>
      </c>
      <c r="D26" s="24">
        <f>'MAI-28'!D26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'MAI-28'!A27</f>
        <v/>
      </c>
      <c r="B27" s="7" t="n"/>
      <c r="C27" s="23">
        <f>'MAI-28'!C27</f>
        <v/>
      </c>
      <c r="D27" s="24">
        <f>'MAI-28'!D27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'MAI-28'!A28</f>
        <v/>
      </c>
      <c r="B28" s="7" t="n"/>
      <c r="C28" s="23">
        <f>'MAI-28'!C28</f>
        <v/>
      </c>
      <c r="D28" s="24">
        <f>'MAI-28'!D28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'MAI-28'!A29</f>
        <v/>
      </c>
      <c r="B29" s="7" t="n"/>
      <c r="C29" s="23">
        <f>'MAI-28'!C29</f>
        <v/>
      </c>
      <c r="D29" s="24">
        <f>'MAI-28'!D29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'MAI-28'!A30</f>
        <v/>
      </c>
      <c r="B30" s="7" t="n"/>
      <c r="C30" s="23">
        <f>'MAI-28'!C30</f>
        <v/>
      </c>
      <c r="D30" s="24">
        <f>'MAI-28'!D30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'MAI-28'!C35</f>
        <v/>
      </c>
      <c r="D35" s="36">
        <f>A35*C35</f>
        <v/>
      </c>
      <c r="E35" s="26" t="n">
        <v>0</v>
      </c>
      <c r="F35" s="35">
        <f>'MAI-28'!F35</f>
        <v/>
      </c>
      <c r="G35" s="36">
        <f>E35*F35</f>
        <v/>
      </c>
      <c r="H35" s="36">
        <f>'MAI-28'!H35+D35-G35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'MAI-28'!D40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'MAI-28'!B50</f>
        <v/>
      </c>
      <c r="C50" s="51" t="n"/>
      <c r="D50" s="51" t="n"/>
      <c r="E50" s="51" t="n"/>
      <c r="F50" s="51" t="n"/>
      <c r="G50" s="52">
        <f>'MAI-28'!G50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'JUN-28'!I2</f>
        <v/>
      </c>
    </row>
    <row r="3">
      <c r="A3" s="5" t="inlineStr">
        <is>
          <t>OBJETO</t>
        </is>
      </c>
      <c r="B3" s="6">
        <f>'JUN-28'!B3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'JUN-28'!B4</f>
        <v/>
      </c>
      <c r="C4" s="7" t="n"/>
      <c r="D4" s="7" t="n"/>
      <c r="E4" s="7" t="n"/>
      <c r="F4" s="5" t="inlineStr">
        <is>
          <t>CONTRATO</t>
        </is>
      </c>
      <c r="G4" s="6">
        <f>'JUN-28'!G4</f>
        <v/>
      </c>
      <c r="H4" s="7" t="n"/>
      <c r="I4" s="7" t="n"/>
    </row>
    <row r="5">
      <c r="A5" s="5" t="inlineStr">
        <is>
          <t>UNIDADE</t>
        </is>
      </c>
      <c r="B5" s="6">
        <f>'JUN-28'!B5</f>
        <v/>
      </c>
      <c r="C5" s="7" t="n"/>
      <c r="D5" s="7" t="n"/>
      <c r="E5" s="7" t="n"/>
      <c r="F5" s="5" t="inlineStr">
        <is>
          <t>TERMO</t>
        </is>
      </c>
      <c r="G5" s="6">
        <f>'JUN-28'!G5</f>
        <v/>
      </c>
      <c r="H5" s="7" t="n"/>
      <c r="I5" s="7" t="n"/>
    </row>
    <row r="6">
      <c r="A6" s="5" t="inlineStr">
        <is>
          <t>MÊS/ANO</t>
        </is>
      </c>
      <c r="B6" s="8">
        <f>EDATE('JUN-28'!B6,1)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'JUN-28'!A25</f>
        <v/>
      </c>
      <c r="B25" s="7" t="n"/>
      <c r="C25" s="23">
        <f>'JUN-28'!C25</f>
        <v/>
      </c>
      <c r="D25" s="24">
        <f>'JUN-28'!D25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'JUN-28'!A26</f>
        <v/>
      </c>
      <c r="B26" s="7" t="n"/>
      <c r="C26" s="23">
        <f>'JUN-28'!C26</f>
        <v/>
      </c>
      <c r="D26" s="24">
        <f>'JUN-28'!D26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'JUN-28'!A27</f>
        <v/>
      </c>
      <c r="B27" s="7" t="n"/>
      <c r="C27" s="23">
        <f>'JUN-28'!C27</f>
        <v/>
      </c>
      <c r="D27" s="24">
        <f>'JUN-28'!D27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'JUN-28'!A28</f>
        <v/>
      </c>
      <c r="B28" s="7" t="n"/>
      <c r="C28" s="23">
        <f>'JUN-28'!C28</f>
        <v/>
      </c>
      <c r="D28" s="24">
        <f>'JUN-28'!D28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'JUN-28'!A29</f>
        <v/>
      </c>
      <c r="B29" s="7" t="n"/>
      <c r="C29" s="23">
        <f>'JUN-28'!C29</f>
        <v/>
      </c>
      <c r="D29" s="24">
        <f>'JUN-28'!D29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'JUN-28'!A30</f>
        <v/>
      </c>
      <c r="B30" s="7" t="n"/>
      <c r="C30" s="23">
        <f>'JUN-28'!C30</f>
        <v/>
      </c>
      <c r="D30" s="24">
        <f>'JUN-28'!D30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'JUN-28'!C35</f>
        <v/>
      </c>
      <c r="D35" s="36">
        <f>A35*C35</f>
        <v/>
      </c>
      <c r="E35" s="26" t="n">
        <v>0</v>
      </c>
      <c r="F35" s="35">
        <f>'JUN-28'!F35</f>
        <v/>
      </c>
      <c r="G35" s="36">
        <f>E35*F35</f>
        <v/>
      </c>
      <c r="H35" s="36">
        <f>'JUN-28'!H35+D35-G35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'JUN-28'!D40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'JUN-28'!B50</f>
        <v/>
      </c>
      <c r="C50" s="51" t="n"/>
      <c r="D50" s="51" t="n"/>
      <c r="E50" s="51" t="n"/>
      <c r="F50" s="51" t="n"/>
      <c r="G50" s="52">
        <f>'JUN-28'!G50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'JUL-28'!I2</f>
        <v/>
      </c>
    </row>
    <row r="3">
      <c r="A3" s="5" t="inlineStr">
        <is>
          <t>OBJETO</t>
        </is>
      </c>
      <c r="B3" s="6">
        <f>'JUL-28'!B3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'JUL-28'!B4</f>
        <v/>
      </c>
      <c r="C4" s="7" t="n"/>
      <c r="D4" s="7" t="n"/>
      <c r="E4" s="7" t="n"/>
      <c r="F4" s="5" t="inlineStr">
        <is>
          <t>CONTRATO</t>
        </is>
      </c>
      <c r="G4" s="6">
        <f>'JUL-28'!G4</f>
        <v/>
      </c>
      <c r="H4" s="7" t="n"/>
      <c r="I4" s="7" t="n"/>
    </row>
    <row r="5">
      <c r="A5" s="5" t="inlineStr">
        <is>
          <t>UNIDADE</t>
        </is>
      </c>
      <c r="B5" s="6">
        <f>'JUL-28'!B5</f>
        <v/>
      </c>
      <c r="C5" s="7" t="n"/>
      <c r="D5" s="7" t="n"/>
      <c r="E5" s="7" t="n"/>
      <c r="F5" s="5" t="inlineStr">
        <is>
          <t>TERMO</t>
        </is>
      </c>
      <c r="G5" s="6">
        <f>'JUL-28'!G5</f>
        <v/>
      </c>
      <c r="H5" s="7" t="n"/>
      <c r="I5" s="7" t="n"/>
    </row>
    <row r="6">
      <c r="A6" s="5" t="inlineStr">
        <is>
          <t>MÊS/ANO</t>
        </is>
      </c>
      <c r="B6" s="8">
        <f>EDATE('JUL-28'!B6,1)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'JUL-28'!A25</f>
        <v/>
      </c>
      <c r="B25" s="7" t="n"/>
      <c r="C25" s="23">
        <f>'JUL-28'!C25</f>
        <v/>
      </c>
      <c r="D25" s="24">
        <f>'JUL-28'!D25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'JUL-28'!A26</f>
        <v/>
      </c>
      <c r="B26" s="7" t="n"/>
      <c r="C26" s="23">
        <f>'JUL-28'!C26</f>
        <v/>
      </c>
      <c r="D26" s="24">
        <f>'JUL-28'!D26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'JUL-28'!A27</f>
        <v/>
      </c>
      <c r="B27" s="7" t="n"/>
      <c r="C27" s="23">
        <f>'JUL-28'!C27</f>
        <v/>
      </c>
      <c r="D27" s="24">
        <f>'JUL-28'!D27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'JUL-28'!A28</f>
        <v/>
      </c>
      <c r="B28" s="7" t="n"/>
      <c r="C28" s="23">
        <f>'JUL-28'!C28</f>
        <v/>
      </c>
      <c r="D28" s="24">
        <f>'JUL-28'!D28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'JUL-28'!A29</f>
        <v/>
      </c>
      <c r="B29" s="7" t="n"/>
      <c r="C29" s="23">
        <f>'JUL-28'!C29</f>
        <v/>
      </c>
      <c r="D29" s="24">
        <f>'JUL-28'!D29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'JUL-28'!A30</f>
        <v/>
      </c>
      <c r="B30" s="7" t="n"/>
      <c r="C30" s="23">
        <f>'JUL-28'!C30</f>
        <v/>
      </c>
      <c r="D30" s="24">
        <f>'JUL-28'!D30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'JUL-28'!C35</f>
        <v/>
      </c>
      <c r="D35" s="36">
        <f>A35*C35</f>
        <v/>
      </c>
      <c r="E35" s="26" t="n">
        <v>0</v>
      </c>
      <c r="F35" s="35">
        <f>'JUL-28'!F35</f>
        <v/>
      </c>
      <c r="G35" s="36">
        <f>E35*F35</f>
        <v/>
      </c>
      <c r="H35" s="36">
        <f>'JUL-28'!H35+D35-G35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'JUL-28'!D40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'JUL-28'!B50</f>
        <v/>
      </c>
      <c r="C50" s="51" t="n"/>
      <c r="D50" s="51" t="n"/>
      <c r="E50" s="51" t="n"/>
      <c r="F50" s="51" t="n"/>
      <c r="G50" s="52">
        <f>'JUL-28'!G50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</cols>
  <sheetData>
    <row r="1" ht="24" customHeight="1">
      <c r="A1" s="1" t="inlineStr">
        <is>
          <t>UNIVERSIDADE FEDERAL DO RIO DE JANEIRO — PRÓ-REITORIA DE GESTÃO E GOVERNANÇA (PR-6)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" t="inlineStr">
        <is>
          <t>INSTRUMENTO DE MEDIÇÃO DE RESULTADO</t>
        </is>
      </c>
      <c r="B2" s="2" t="n"/>
      <c r="C2" s="2" t="n"/>
      <c r="D2" s="2" t="n"/>
      <c r="E2" s="2" t="n"/>
      <c r="F2" s="2" t="n"/>
      <c r="G2" s="2" t="n"/>
      <c r="H2" s="3" t="inlineStr">
        <is>
          <t>IMR Nº</t>
        </is>
      </c>
      <c r="I2" s="4">
        <f>'AGO-28'!I2</f>
        <v/>
      </c>
    </row>
    <row r="3">
      <c r="A3" s="5" t="inlineStr">
        <is>
          <t>OBJETO</t>
        </is>
      </c>
      <c r="B3" s="6">
        <f>'AGO-28'!B3</f>
        <v/>
      </c>
      <c r="C3" s="7" t="n"/>
      <c r="D3" s="7" t="n"/>
      <c r="E3" s="7" t="n"/>
      <c r="F3" s="7" t="n"/>
      <c r="G3" s="7" t="n"/>
      <c r="H3" s="7" t="n"/>
      <c r="I3" s="7" t="n"/>
    </row>
    <row r="4">
      <c r="A4" s="5" t="inlineStr">
        <is>
          <t>EMPRESA</t>
        </is>
      </c>
      <c r="B4" s="6">
        <f>'AGO-28'!B4</f>
        <v/>
      </c>
      <c r="C4" s="7" t="n"/>
      <c r="D4" s="7" t="n"/>
      <c r="E4" s="7" t="n"/>
      <c r="F4" s="5" t="inlineStr">
        <is>
          <t>CONTRATO</t>
        </is>
      </c>
      <c r="G4" s="6">
        <f>'AGO-28'!G4</f>
        <v/>
      </c>
      <c r="H4" s="7" t="n"/>
      <c r="I4" s="7" t="n"/>
    </row>
    <row r="5">
      <c r="A5" s="5" t="inlineStr">
        <is>
          <t>UNIDADE</t>
        </is>
      </c>
      <c r="B5" s="6">
        <f>'AGO-28'!B5</f>
        <v/>
      </c>
      <c r="C5" s="7" t="n"/>
      <c r="D5" s="7" t="n"/>
      <c r="E5" s="7" t="n"/>
      <c r="F5" s="5" t="inlineStr">
        <is>
          <t>TERMO</t>
        </is>
      </c>
      <c r="G5" s="6">
        <f>'AGO-28'!G5</f>
        <v/>
      </c>
      <c r="H5" s="7" t="n"/>
      <c r="I5" s="7" t="n"/>
    </row>
    <row r="6">
      <c r="A6" s="5" t="inlineStr">
        <is>
          <t>MÊS/ANO</t>
        </is>
      </c>
      <c r="B6" s="8">
        <f>EDATE('AGO-28'!B6,1)</f>
        <v/>
      </c>
      <c r="C6" s="7" t="n"/>
      <c r="D6" s="7" t="n"/>
      <c r="E6" s="7" t="n"/>
      <c r="F6" s="5" t="inlineStr">
        <is>
          <t>FISCAL</t>
        </is>
      </c>
      <c r="G6" s="9" t="n"/>
      <c r="H6" s="7" t="n"/>
      <c r="I6" s="7" t="n"/>
    </row>
    <row r="7">
      <c r="A7" s="10" t="inlineStr">
        <is>
          <t>Preencha as células em amarelo. Pontuação, nota e valores são calculados automaticamente.</t>
        </is>
      </c>
    </row>
    <row r="8">
      <c r="A8" s="11" t="inlineStr">
        <is>
          <t>AVALIAÇÃO DOS SERVIÇOS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12" t="inlineStr">
        <is>
          <t>Cód.</t>
        </is>
      </c>
      <c r="B9" s="12" t="inlineStr">
        <is>
          <t>Indicador</t>
        </is>
      </c>
      <c r="C9" s="2" t="n"/>
      <c r="D9" s="2" t="n"/>
      <c r="E9" s="2" t="n"/>
      <c r="F9" s="2" t="n"/>
      <c r="G9" s="12" t="inlineStr">
        <is>
          <t>Avaliação correspondente</t>
        </is>
      </c>
      <c r="H9" s="12" t="inlineStr">
        <is>
          <t>Pontos</t>
        </is>
      </c>
      <c r="I9" s="12" t="inlineStr">
        <is>
          <t>Peso</t>
        </is>
      </c>
    </row>
    <row r="10">
      <c r="A10" s="5" t="inlineStr">
        <is>
          <t>Módulo A — QUALIDADE DOS SERVIÇOS</t>
        </is>
      </c>
      <c r="B10" s="13" t="n"/>
      <c r="C10" s="13" t="n"/>
      <c r="D10" s="13" t="n"/>
      <c r="E10" s="13" t="n"/>
      <c r="F10" s="13" t="n"/>
      <c r="G10" s="13" t="n"/>
      <c r="H10" s="13" t="n"/>
      <c r="I10" s="3" t="inlineStr">
        <is>
          <t>Peso 25</t>
        </is>
      </c>
    </row>
    <row r="11" ht="26" customHeight="1">
      <c r="A11" s="4" t="inlineStr">
        <is>
          <t>A.1</t>
        </is>
      </c>
      <c r="B11" s="6" t="inlineStr">
        <is>
          <t>CONFORMIDADE DOS EQUIPAMENTOS PARA EXECUÇÃO DOS SERVIÇOS</t>
        </is>
      </c>
      <c r="C11" s="7" t="n"/>
      <c r="D11" s="7" t="n"/>
      <c r="E11" s="7" t="n"/>
      <c r="F11" s="7" t="n"/>
      <c r="G11" s="14" t="n"/>
      <c r="H11" s="15">
        <f>IFERROR(VLOOKUP(G11,'Parâmetros'!$A$2:$B$4,2,FALSE),0)</f>
        <v/>
      </c>
    </row>
    <row r="12" ht="26" customHeight="1">
      <c r="A12" s="4" t="inlineStr">
        <is>
          <t>A.2</t>
        </is>
      </c>
      <c r="B12" s="6" t="inlineStr">
        <is>
          <t>CONFORMIDADE DOS SERVIÇOS EXECUTADOS COM AS ESPECIFICAÇÕES TÉCNICAS</t>
        </is>
      </c>
      <c r="C12" s="7" t="n"/>
      <c r="D12" s="7" t="n"/>
      <c r="E12" s="7" t="n"/>
      <c r="F12" s="7" t="n"/>
      <c r="G12" s="14" t="n"/>
      <c r="H12" s="15">
        <f>IFERROR(VLOOKUP(G12,'Parâmetros'!$A$2:$B$4,2,FALSE),0)</f>
        <v/>
      </c>
    </row>
    <row r="13">
      <c r="A13" s="16" t="inlineStr">
        <is>
          <t>Pontuação total do Módulo A</t>
        </is>
      </c>
      <c r="B13" s="17" t="n"/>
      <c r="C13" s="17" t="n"/>
      <c r="D13" s="17" t="n"/>
      <c r="E13" s="17" t="n"/>
      <c r="F13" s="17" t="n"/>
      <c r="G13" s="17" t="n"/>
      <c r="H13" s="18">
        <f>SUM(H11:H12)</f>
        <v/>
      </c>
      <c r="I13" s="19" t="n"/>
    </row>
    <row r="14">
      <c r="A14" s="5" t="inlineStr">
        <is>
          <t>Módulo B — EQUIPE DE TRABALHO</t>
        </is>
      </c>
      <c r="B14" s="13" t="n"/>
      <c r="C14" s="13" t="n"/>
      <c r="D14" s="13" t="n"/>
      <c r="E14" s="13" t="n"/>
      <c r="F14" s="13" t="n"/>
      <c r="G14" s="13" t="n"/>
      <c r="H14" s="13" t="n"/>
      <c r="I14" s="3" t="inlineStr">
        <is>
          <t>Peso 25</t>
        </is>
      </c>
    </row>
    <row r="15" ht="26" customHeight="1">
      <c r="A15" s="4" t="inlineStr">
        <is>
          <t>B.1</t>
        </is>
      </c>
      <c r="B15" s="6" t="inlineStr">
        <is>
          <t>UNIFORMIZAÇÃO E EQUIPAMENTOS DE PROTEÇÃO INDIVIDUAL</t>
        </is>
      </c>
      <c r="C15" s="7" t="n"/>
      <c r="D15" s="7" t="n"/>
      <c r="E15" s="7" t="n"/>
      <c r="F15" s="7" t="n"/>
      <c r="G15" s="14" t="n"/>
      <c r="H15" s="15">
        <f>IFERROR(VLOOKUP(G15,'Parâmetros'!$A$2:$B$4,2,FALSE),0)</f>
        <v/>
      </c>
    </row>
    <row r="16" ht="26" customHeight="1">
      <c r="A16" s="4" t="inlineStr">
        <is>
          <t>B.2</t>
        </is>
      </c>
      <c r="B16" s="6" t="inlineStr">
        <is>
          <t>QUALIDADE DA EQUIPE</t>
        </is>
      </c>
      <c r="C16" s="7" t="n"/>
      <c r="D16" s="7" t="n"/>
      <c r="E16" s="7" t="n"/>
      <c r="F16" s="7" t="n"/>
      <c r="G16" s="14" t="n"/>
      <c r="H16" s="15">
        <f>IFERROR(VLOOKUP(G16,'Parâmetros'!$A$2:$B$4,2,FALSE),0)</f>
        <v/>
      </c>
    </row>
    <row r="17">
      <c r="A17" s="16" t="inlineStr">
        <is>
          <t>Pontuação total do Módulo B</t>
        </is>
      </c>
      <c r="B17" s="17" t="n"/>
      <c r="C17" s="17" t="n"/>
      <c r="D17" s="17" t="n"/>
      <c r="E17" s="17" t="n"/>
      <c r="F17" s="17" t="n"/>
      <c r="G17" s="17" t="n"/>
      <c r="H17" s="18">
        <f>SUM(H15:H16)</f>
        <v/>
      </c>
      <c r="I17" s="19" t="n"/>
    </row>
    <row r="18">
      <c r="A18" s="5" t="inlineStr">
        <is>
          <t>Módulo C — CUMPRIMENTO DO CRONOGRAMA</t>
        </is>
      </c>
      <c r="B18" s="13" t="n"/>
      <c r="C18" s="13" t="n"/>
      <c r="D18" s="13" t="n"/>
      <c r="E18" s="13" t="n"/>
      <c r="F18" s="13" t="n"/>
      <c r="G18" s="13" t="n"/>
      <c r="H18" s="13" t="n"/>
      <c r="I18" s="3" t="inlineStr">
        <is>
          <t>Peso 25</t>
        </is>
      </c>
    </row>
    <row r="19" ht="26" customHeight="1">
      <c r="A19" s="4" t="inlineStr">
        <is>
          <t>C.1</t>
        </is>
      </c>
      <c r="B19" s="6" t="inlineStr">
        <is>
          <t>CUMPRIMENTO DO CRONOGRAMA E DAS ATIVIDADES</t>
        </is>
      </c>
      <c r="C19" s="7" t="n"/>
      <c r="D19" s="7" t="n"/>
      <c r="E19" s="7" t="n"/>
      <c r="F19" s="7" t="n"/>
      <c r="G19" s="14" t="n"/>
      <c r="H19" s="15">
        <f>IFERROR(VLOOKUP(G19,'Parâmetros'!$A$2:$B$4,2,FALSE),0)</f>
        <v/>
      </c>
    </row>
    <row r="20">
      <c r="A20" s="16" t="inlineStr">
        <is>
          <t>Pontuação total do Módulo C</t>
        </is>
      </c>
      <c r="B20" s="17" t="n"/>
      <c r="C20" s="17" t="n"/>
      <c r="D20" s="17" t="n"/>
      <c r="E20" s="17" t="n"/>
      <c r="F20" s="17" t="n"/>
      <c r="G20" s="17" t="n"/>
      <c r="H20" s="18">
        <f>SUM(H19:H19)</f>
        <v/>
      </c>
      <c r="I20" s="19" t="n"/>
    </row>
    <row r="21" ht="20" customHeight="1">
      <c r="A21" s="3" t="inlineStr">
        <is>
          <t>TOTAL DE PONTOS</t>
        </is>
      </c>
      <c r="B21" s="7" t="n"/>
      <c r="C21" s="20">
        <f>(H11+H12+H15+H16+H19)/5</f>
        <v/>
      </c>
      <c r="D21" s="3" t="inlineStr">
        <is>
          <t>NOTA OBTIDA</t>
        </is>
      </c>
      <c r="E21" s="7" t="n"/>
      <c r="F21" s="21">
        <f>VLOOKUP(C21,'Parâmetros'!$D$2:$F$8,2,TRUE)</f>
        <v/>
      </c>
      <c r="G21" s="3" t="inlineStr">
        <is>
          <t>% DE LIBERAÇÃO</t>
        </is>
      </c>
      <c r="H21" s="7" t="n"/>
      <c r="I21" s="22">
        <f>VLOOKUP(C21,'Parâmetros'!$D$2:$F$8,3,TRUE)</f>
        <v/>
      </c>
    </row>
    <row r="23">
      <c r="A23" s="11" t="inlineStr">
        <is>
          <t>MÃO DE OBRA COM DEDICAÇÃO EXCLUSIVA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28" customHeight="1">
      <c r="A24" s="12" t="inlineStr">
        <is>
          <t>Categoria/Cargo</t>
        </is>
      </c>
      <c r="B24" s="2" t="n"/>
      <c r="C24" s="12" t="inlineStr">
        <is>
          <t>Postos</t>
        </is>
      </c>
      <c r="D24" s="12" t="inlineStr">
        <is>
          <t>Valor Unitário
(do posto)</t>
        </is>
      </c>
      <c r="E24" s="12" t="inlineStr">
        <is>
          <t>Valor Mensal
(postos × unitário)</t>
        </is>
      </c>
      <c r="F24" s="12" t="inlineStr">
        <is>
          <t>Horas
Contratadas</t>
        </is>
      </c>
      <c r="G24" s="12" t="inlineStr">
        <is>
          <t>Qtd. de faltas
(em horas)</t>
        </is>
      </c>
      <c r="H24" s="12" t="inlineStr">
        <is>
          <t>Valor da Hora</t>
        </is>
      </c>
      <c r="I24" s="12" t="inlineStr">
        <is>
          <t>Valor com desconto</t>
        </is>
      </c>
    </row>
    <row r="25">
      <c r="A25" s="6">
        <f>'AGO-28'!A25</f>
        <v/>
      </c>
      <c r="B25" s="7" t="n"/>
      <c r="C25" s="23">
        <f>'AGO-28'!C25</f>
        <v/>
      </c>
      <c r="D25" s="24">
        <f>'AGO-28'!D25</f>
        <v/>
      </c>
      <c r="E25" s="25">
        <f>C25*D25</f>
        <v/>
      </c>
      <c r="F25" s="15">
        <f>C25*'Parâmetros'!$I$2</f>
        <v/>
      </c>
      <c r="G25" s="26" t="n"/>
      <c r="H25" s="25">
        <f>IF(F25=0,0,E25/F25)</f>
        <v/>
      </c>
      <c r="I25" s="25">
        <f>H25*N(G25)</f>
        <v/>
      </c>
    </row>
    <row r="26">
      <c r="A26" s="6">
        <f>'AGO-28'!A26</f>
        <v/>
      </c>
      <c r="B26" s="7" t="n"/>
      <c r="C26" s="23">
        <f>'AGO-28'!C26</f>
        <v/>
      </c>
      <c r="D26" s="24">
        <f>'AGO-28'!D26</f>
        <v/>
      </c>
      <c r="E26" s="25">
        <f>C26*D26</f>
        <v/>
      </c>
      <c r="F26" s="15">
        <f>C26*'Parâmetros'!$I$2</f>
        <v/>
      </c>
      <c r="G26" s="26" t="n"/>
      <c r="H26" s="25">
        <f>IF(F26=0,0,E26/F26)</f>
        <v/>
      </c>
      <c r="I26" s="25">
        <f>H26*N(G26)</f>
        <v/>
      </c>
    </row>
    <row r="27">
      <c r="A27" s="6">
        <f>'AGO-28'!A27</f>
        <v/>
      </c>
      <c r="B27" s="7" t="n"/>
      <c r="C27" s="23">
        <f>'AGO-28'!C27</f>
        <v/>
      </c>
      <c r="D27" s="24">
        <f>'AGO-28'!D27</f>
        <v/>
      </c>
      <c r="E27" s="25">
        <f>C27*D27</f>
        <v/>
      </c>
      <c r="F27" s="15">
        <f>C27*'Parâmetros'!$I$2</f>
        <v/>
      </c>
      <c r="G27" s="26" t="n"/>
      <c r="H27" s="25">
        <f>IF(F27=0,0,E27/F27)</f>
        <v/>
      </c>
      <c r="I27" s="25">
        <f>H27*N(G27)</f>
        <v/>
      </c>
    </row>
    <row r="28">
      <c r="A28" s="6">
        <f>'AGO-28'!A28</f>
        <v/>
      </c>
      <c r="B28" s="7" t="n"/>
      <c r="C28" s="23">
        <f>'AGO-28'!C28</f>
        <v/>
      </c>
      <c r="D28" s="24">
        <f>'AGO-28'!D28</f>
        <v/>
      </c>
      <c r="E28" s="25">
        <f>C28*D28</f>
        <v/>
      </c>
      <c r="F28" s="15">
        <f>C28*'Parâmetros'!$I$2</f>
        <v/>
      </c>
      <c r="G28" s="26" t="n"/>
      <c r="H28" s="25">
        <f>IF(F28=0,0,E28/F28)</f>
        <v/>
      </c>
      <c r="I28" s="25">
        <f>H28*N(G28)</f>
        <v/>
      </c>
    </row>
    <row r="29">
      <c r="A29" s="6">
        <f>'AGO-28'!A29</f>
        <v/>
      </c>
      <c r="B29" s="7" t="n"/>
      <c r="C29" s="23">
        <f>'AGO-28'!C29</f>
        <v/>
      </c>
      <c r="D29" s="24">
        <f>'AGO-28'!D29</f>
        <v/>
      </c>
      <c r="E29" s="25">
        <f>C29*D29</f>
        <v/>
      </c>
      <c r="F29" s="15">
        <f>C29*'Parâmetros'!$I$2</f>
        <v/>
      </c>
      <c r="G29" s="26" t="n"/>
      <c r="H29" s="25">
        <f>IF(F29=0,0,E29/F29)</f>
        <v/>
      </c>
      <c r="I29" s="25">
        <f>H29*N(G29)</f>
        <v/>
      </c>
    </row>
    <row r="30">
      <c r="A30" s="6">
        <f>'AGO-28'!A30</f>
        <v/>
      </c>
      <c r="B30" s="7" t="n"/>
      <c r="C30" s="23">
        <f>'AGO-28'!C30</f>
        <v/>
      </c>
      <c r="D30" s="24">
        <f>'AGO-28'!D30</f>
        <v/>
      </c>
      <c r="E30" s="25">
        <f>C30*D30</f>
        <v/>
      </c>
      <c r="F30" s="15">
        <f>C30*'Parâmetros'!$I$2</f>
        <v/>
      </c>
      <c r="G30" s="26" t="n"/>
      <c r="H30" s="25">
        <f>IF(F30=0,0,E30/F30)</f>
        <v/>
      </c>
      <c r="I30" s="25">
        <f>H30*N(G30)</f>
        <v/>
      </c>
    </row>
    <row r="31">
      <c r="A31" s="27" t="inlineStr">
        <is>
          <t>TOTAIS</t>
        </is>
      </c>
      <c r="B31" s="17" t="n"/>
      <c r="C31" s="18">
        <f>SUM(C25:C30)</f>
        <v/>
      </c>
      <c r="D31" s="28" t="n"/>
      <c r="E31" s="29">
        <f>SUM(E25:E30)</f>
        <v/>
      </c>
      <c r="F31" s="18">
        <f>SUM(F25:F30)</f>
        <v/>
      </c>
      <c r="G31" s="18">
        <f>SUM(G25:G30)</f>
        <v/>
      </c>
      <c r="H31" s="28" t="n"/>
      <c r="I31" s="29">
        <f>SUM(I25:I30)</f>
        <v/>
      </c>
    </row>
    <row r="33">
      <c r="A33" s="30" t="inlineStr">
        <is>
          <t>REEMBOLSO DE CRECHE</t>
        </is>
      </c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 ht="26" customHeight="1">
      <c r="A34" s="32" t="inlineStr">
        <is>
          <t>Qtde contratada</t>
        </is>
      </c>
      <c r="B34" s="31" t="n"/>
      <c r="C34" s="32" t="inlineStr">
        <is>
          <t>Valor estimado
unitário</t>
        </is>
      </c>
      <c r="D34" s="32" t="inlineStr">
        <is>
          <t>Valor retido
(mensal)</t>
        </is>
      </c>
      <c r="E34" s="32" t="inlineStr">
        <is>
          <t>Reembolsos
aprovados</t>
        </is>
      </c>
      <c r="F34" s="32" t="inlineStr">
        <is>
          <t>Valor por
dependente</t>
        </is>
      </c>
      <c r="G34" s="32" t="inlineStr">
        <is>
          <t>Total dos
reembolsos</t>
        </is>
      </c>
      <c r="H34" s="32" t="inlineStr">
        <is>
          <t>Saldo acumulado</t>
        </is>
      </c>
      <c r="I34" s="31" t="n"/>
    </row>
    <row r="35">
      <c r="A35" s="33">
        <f>C31</f>
        <v/>
      </c>
      <c r="B35" s="34" t="n"/>
      <c r="C35" s="35">
        <f>'AGO-28'!C35</f>
        <v/>
      </c>
      <c r="D35" s="36">
        <f>A35*C35</f>
        <v/>
      </c>
      <c r="E35" s="26" t="n">
        <v>0</v>
      </c>
      <c r="F35" s="35">
        <f>'AGO-28'!F35</f>
        <v/>
      </c>
      <c r="G35" s="36">
        <f>E35*F35</f>
        <v/>
      </c>
      <c r="H35" s="36">
        <f>'AGO-28'!H35+D35-G35</f>
        <v/>
      </c>
      <c r="I35" s="34" t="n"/>
    </row>
    <row r="36">
      <c r="A36" s="10" t="inlineStr">
        <is>
          <t>Retido = qtde contratada × valor estimado unitário · Total = reembolsos aprovados × valor por dependente · Saldo = saldo do mês anterior + retido − total.</t>
        </is>
      </c>
    </row>
    <row r="38">
      <c r="A38" s="11" t="inlineStr">
        <is>
          <t>APURAÇÃO DO VALOR A FATURAR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inlineStr">
        <is>
          <t>MEDIÇÃO DOS SERVIÇOS</t>
        </is>
      </c>
      <c r="B39" s="13" t="n"/>
      <c r="C39" s="13" t="n"/>
      <c r="D39" s="13" t="n"/>
      <c r="F39" s="3" t="inlineStr">
        <is>
          <t>VALOR LIBERADO PARA FATURAMENTO</t>
        </is>
      </c>
      <c r="G39" s="13" t="n"/>
      <c r="H39" s="13" t="n"/>
      <c r="I39" s="13" t="n"/>
    </row>
    <row r="40">
      <c r="A40" s="6" t="inlineStr">
        <is>
          <t>VALOR UNITÁRIO (planilha orçamentária)</t>
        </is>
      </c>
      <c r="B40" s="7" t="n"/>
      <c r="C40" s="7" t="n"/>
      <c r="D40" s="37">
        <f>'AGO-28'!D40</f>
        <v/>
      </c>
      <c r="F40" s="6" t="inlineStr">
        <is>
          <t>Valor dos serviços</t>
        </is>
      </c>
      <c r="G40" s="7" t="n"/>
      <c r="H40" s="7" t="n"/>
      <c r="I40" s="38" t="n"/>
    </row>
    <row r="41">
      <c r="A41" s="6" t="inlineStr">
        <is>
          <t>Dias Trabalhados no mês</t>
        </is>
      </c>
      <c r="B41" s="7" t="n"/>
      <c r="C41" s="7" t="n"/>
      <c r="D41" s="39" t="n">
        <v>25</v>
      </c>
      <c r="F41" s="6" t="inlineStr">
        <is>
          <t>Percentual de liberação (nota obtida)</t>
        </is>
      </c>
      <c r="G41" s="7" t="n"/>
      <c r="H41" s="7" t="n"/>
      <c r="I41" s="40">
        <f>I21</f>
        <v/>
      </c>
    </row>
    <row r="42">
      <c r="A42" s="6" t="inlineStr">
        <is>
          <t>Qtde contratada (soma dos postos)</t>
        </is>
      </c>
      <c r="B42" s="7" t="n"/>
      <c r="C42" s="7" t="n"/>
      <c r="D42" s="41">
        <f>C31</f>
        <v/>
      </c>
      <c r="F42" s="6" t="inlineStr">
        <is>
          <t>Subtotal dos serviços</t>
        </is>
      </c>
      <c r="G42" s="7" t="n"/>
      <c r="H42" s="7" t="n"/>
      <c r="I42" s="42">
        <f>I40*I41</f>
        <v/>
      </c>
    </row>
    <row r="43">
      <c r="A43" s="43" t="inlineStr">
        <is>
          <t>Serviço de mão-de-obra (total mensal ÷ 30 × dias)</t>
        </is>
      </c>
      <c r="B43" s="7" t="n"/>
      <c r="C43" s="7" t="n"/>
      <c r="D43" s="42">
        <f>E31/'Parâmetros'!$I$3*D41</f>
        <v/>
      </c>
      <c r="F43" s="6" t="inlineStr">
        <is>
          <t>Valor do desconto (nota)</t>
        </is>
      </c>
      <c r="G43" s="7" t="n"/>
      <c r="H43" s="7" t="n"/>
      <c r="I43" s="42">
        <f>I42-I40</f>
        <v/>
      </c>
    </row>
    <row r="44">
      <c r="A44" s="43" t="inlineStr">
        <is>
          <t>Serviço de engenharia ((qtd × unit.) ÷ 12 − mão-de-obra)</t>
        </is>
      </c>
      <c r="B44" s="7" t="n"/>
      <c r="C44" s="7" t="n"/>
      <c r="D44" s="42">
        <f>(G50*D40)/12-D43</f>
        <v/>
      </c>
      <c r="F44" s="6" t="inlineStr">
        <is>
          <t>Valor da GLOSA de mão-de-obra (faltas)</t>
        </is>
      </c>
      <c r="G44" s="7" t="n"/>
      <c r="H44" s="7" t="n"/>
      <c r="I44" s="42">
        <f>-I31</f>
        <v/>
      </c>
    </row>
    <row r="45">
      <c r="A45" s="6" t="inlineStr">
        <is>
          <t>Valor mensal do contrato (qtd × unit. ÷ 12)</t>
        </is>
      </c>
      <c r="B45" s="7" t="n"/>
      <c r="C45" s="7" t="n"/>
      <c r="D45" s="42">
        <f>(G50*D40)/12</f>
        <v/>
      </c>
      <c r="F45" s="6" t="inlineStr">
        <is>
          <t>Valor total dos descontos</t>
        </is>
      </c>
      <c r="G45" s="7" t="n"/>
      <c r="H45" s="7" t="n"/>
      <c r="I45" s="42">
        <f>I43+I44</f>
        <v/>
      </c>
    </row>
    <row r="46">
      <c r="F46" s="6" t="inlineStr">
        <is>
          <t>Valor Reembolso de creche (não sofre desconto)</t>
        </is>
      </c>
      <c r="G46" s="7" t="n"/>
      <c r="H46" s="7" t="n"/>
      <c r="I46" s="42">
        <f>G35</f>
        <v/>
      </c>
    </row>
    <row r="47" ht="20" customHeight="1">
      <c r="F47" s="44" t="inlineStr">
        <is>
          <t>Valor liberado para Faturamento</t>
        </is>
      </c>
      <c r="G47" s="13" t="n"/>
      <c r="H47" s="13" t="n"/>
      <c r="I47" s="45">
        <f>I42+I44+I46</f>
        <v/>
      </c>
    </row>
    <row r="48">
      <c r="A48" s="46" t="inlineStr">
        <is>
          <t>📋 INSTRUMENTO DE COBRANÇA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</row>
    <row r="49" ht="24" customHeight="1">
      <c r="A49" s="48" t="inlineStr">
        <is>
          <t>Item</t>
        </is>
      </c>
      <c r="B49" s="48" t="inlineStr">
        <is>
          <t>Descrição</t>
        </is>
      </c>
      <c r="C49" s="47" t="n"/>
      <c r="D49" s="47" t="n"/>
      <c r="E49" s="47" t="n"/>
      <c r="F49" s="47" t="n"/>
      <c r="G49" s="48" t="inlineStr">
        <is>
          <t>Qtde Faturada</t>
        </is>
      </c>
      <c r="H49" s="47" t="n"/>
      <c r="I49" s="48" t="inlineStr">
        <is>
          <t>Valor Unit. Faturado (R$)</t>
        </is>
      </c>
    </row>
    <row r="50">
      <c r="A50" s="49" t="n">
        <v>1</v>
      </c>
      <c r="B50" s="50">
        <f>'AGO-28'!B50</f>
        <v/>
      </c>
      <c r="C50" s="51" t="n"/>
      <c r="D50" s="51" t="n"/>
      <c r="E50" s="51" t="n"/>
      <c r="F50" s="51" t="n"/>
      <c r="G50" s="52">
        <f>'AGO-28'!G50</f>
        <v/>
      </c>
      <c r="H50" s="51" t="n"/>
      <c r="I50" s="53">
        <f>IF(OR(I40="",G50=0),"",I40/G50)</f>
        <v/>
      </c>
    </row>
    <row r="51">
      <c r="A51" s="10" t="inlineStr">
        <is>
          <t>Qtde Faturada = QTD TOTAL da planilha orçamentária · Valor Unit. Faturado = valor dos serviços ÷ Qtde Faturada.</t>
        </is>
      </c>
    </row>
    <row r="53">
      <c r="A53" s="11" t="inlineStr">
        <is>
          <t>OCORRÊNCIAS OBSERVADAS EM RELAÇÃO À CONTRATADA – JUSTIFICATIVAS DA AVALIAÇÃO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6" customHeight="1">
      <c r="A54" s="54" t="n"/>
      <c r="B54" s="55" t="n"/>
      <c r="C54" s="55" t="n"/>
      <c r="D54" s="55" t="n"/>
      <c r="E54" s="55" t="n"/>
      <c r="F54" s="55" t="n"/>
      <c r="G54" s="55" t="n"/>
      <c r="H54" s="55" t="n"/>
      <c r="I54" s="55" t="n"/>
    </row>
    <row r="55" ht="16" customHeight="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</row>
    <row r="56" ht="16" customHeight="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</row>
    <row r="57" ht="16" customHeight="1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6" customHeight="1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</row>
    <row r="60">
      <c r="A60" s="11" t="inlineStr">
        <is>
          <t>CIENTE DO DIRETOR DA UNIDADE</t>
        </is>
      </c>
      <c r="B60" s="2" t="n"/>
      <c r="C60" s="2" t="n"/>
      <c r="D60" s="2" t="n"/>
      <c r="F60" s="11" t="inlineStr">
        <is>
          <t>CIENTE DO FISCAL DO CONTRATO</t>
        </is>
      </c>
      <c r="G60" s="2" t="n"/>
      <c r="H60" s="2" t="n"/>
      <c r="I60" s="2" t="n"/>
    </row>
    <row r="61" ht="20" customHeight="1">
      <c r="A61" s="56" t="n"/>
      <c r="B61" s="7" t="n"/>
      <c r="C61" s="7" t="n"/>
      <c r="D61" s="7" t="n"/>
      <c r="F61" s="56" t="n"/>
      <c r="G61" s="7" t="n"/>
      <c r="H61" s="7" t="n"/>
      <c r="I61" s="7" t="n"/>
    </row>
    <row r="62" ht="20" customHeight="1">
      <c r="A62" s="7" t="n"/>
      <c r="B62" s="7" t="n"/>
      <c r="C62" s="7" t="n"/>
      <c r="D62" s="7" t="n"/>
      <c r="F62" s="7" t="n"/>
      <c r="G62" s="7" t="n"/>
      <c r="H62" s="7" t="n"/>
      <c r="I62" s="7" t="n"/>
    </row>
    <row r="63" ht="20" customHeight="1">
      <c r="A63" s="7" t="n"/>
      <c r="B63" s="7" t="n"/>
      <c r="C63" s="7" t="n"/>
      <c r="D63" s="7" t="n"/>
      <c r="F63" s="7" t="n"/>
      <c r="G63" s="7" t="n"/>
      <c r="H63" s="7" t="n"/>
      <c r="I63" s="7" t="n"/>
    </row>
    <row r="64">
      <c r="A64" s="57" t="inlineStr">
        <is>
          <t>DATA:</t>
        </is>
      </c>
      <c r="B64" s="58" t="n"/>
      <c r="C64" s="55" t="n"/>
      <c r="D64" s="55" t="n"/>
      <c r="F64" s="57" t="inlineStr">
        <is>
          <t>DATA:</t>
        </is>
      </c>
      <c r="G64" s="58" t="n"/>
      <c r="H64" s="55" t="n"/>
      <c r="I64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71F"/>
  <mergeCells count="69">
    <mergeCell ref="G21:H21"/>
    <mergeCell ref="A24:B24"/>
    <mergeCell ref="A30:B30"/>
    <mergeCell ref="H35:I35"/>
    <mergeCell ref="A17:G17"/>
    <mergeCell ref="A41:C41"/>
    <mergeCell ref="G6:I6"/>
    <mergeCell ref="B16:F16"/>
    <mergeCell ref="F42:H42"/>
    <mergeCell ref="F45:H45"/>
    <mergeCell ref="F41:H41"/>
    <mergeCell ref="B6:E6"/>
    <mergeCell ref="F39:I39"/>
    <mergeCell ref="A54:I58"/>
    <mergeCell ref="A20:G20"/>
    <mergeCell ref="B3:I3"/>
    <mergeCell ref="B5:E5"/>
    <mergeCell ref="F47:H47"/>
    <mergeCell ref="D21:E21"/>
    <mergeCell ref="F60:I60"/>
    <mergeCell ref="A13:G13"/>
    <mergeCell ref="H34:I34"/>
    <mergeCell ref="B12:F12"/>
    <mergeCell ref="A42:C42"/>
    <mergeCell ref="A33:I33"/>
    <mergeCell ref="F46:H46"/>
    <mergeCell ref="B4:E4"/>
    <mergeCell ref="A25:B25"/>
    <mergeCell ref="G5:I5"/>
    <mergeCell ref="F61:I63"/>
    <mergeCell ref="B11:F11"/>
    <mergeCell ref="A39:D39"/>
    <mergeCell ref="A23:I23"/>
    <mergeCell ref="F43:H43"/>
    <mergeCell ref="G4:I4"/>
    <mergeCell ref="A8:I8"/>
    <mergeCell ref="G64:I64"/>
    <mergeCell ref="A53:I53"/>
    <mergeCell ref="A27:B27"/>
    <mergeCell ref="A43:C43"/>
    <mergeCell ref="A60:D60"/>
    <mergeCell ref="A38:I38"/>
    <mergeCell ref="B64:D64"/>
    <mergeCell ref="A18:H18"/>
    <mergeCell ref="G49:H49"/>
    <mergeCell ref="A26:B26"/>
    <mergeCell ref="A21:B21"/>
    <mergeCell ref="A44:C44"/>
    <mergeCell ref="B19:F19"/>
    <mergeCell ref="A40:C40"/>
    <mergeCell ref="A14:H14"/>
    <mergeCell ref="F44:H44"/>
    <mergeCell ref="A48:I48"/>
    <mergeCell ref="B9:F9"/>
    <mergeCell ref="A61:D63"/>
    <mergeCell ref="A35:B35"/>
    <mergeCell ref="B49:F49"/>
    <mergeCell ref="A29:B29"/>
    <mergeCell ref="A45:C45"/>
    <mergeCell ref="B15:F15"/>
    <mergeCell ref="A10:H10"/>
    <mergeCell ref="A1:I1"/>
    <mergeCell ref="A28:B28"/>
    <mergeCell ref="F40:H40"/>
    <mergeCell ref="A2:G2"/>
    <mergeCell ref="G50:H50"/>
    <mergeCell ref="B50:F50"/>
    <mergeCell ref="A31:B31"/>
    <mergeCell ref="A34:B34"/>
  </mergeCells>
  <conditionalFormatting sqref="H11">
    <cfRule type="cellIs" priority="1" operator="lessThan" dxfId="0">
      <formula>100</formula>
    </cfRule>
  </conditionalFormatting>
  <conditionalFormatting sqref="H12">
    <cfRule type="cellIs" priority="2" operator="lessThan" dxfId="0">
      <formula>100</formula>
    </cfRule>
  </conditionalFormatting>
  <conditionalFormatting sqref="H15">
    <cfRule type="cellIs" priority="3" operator="lessThan" dxfId="0">
      <formula>100</formula>
    </cfRule>
  </conditionalFormatting>
  <conditionalFormatting sqref="H16">
    <cfRule type="cellIs" priority="4" operator="lessThan" dxfId="0">
      <formula>100</formula>
    </cfRule>
  </conditionalFormatting>
  <conditionalFormatting sqref="H19">
    <cfRule type="cellIs" priority="5" operator="lessThan" dxfId="0">
      <formula>100</formula>
    </cfRule>
  </conditionalFormatting>
  <conditionalFormatting sqref="F21">
    <cfRule type="expression" priority="6" dxfId="1">
      <formula>F21&lt;&gt;"A"</formula>
    </cfRule>
  </conditionalFormatting>
  <conditionalFormatting sqref="H35">
    <cfRule type="cellIs" priority="7" operator="lessThan" dxfId="1">
      <formula>0</formula>
    </cfRule>
  </conditionalFormatting>
  <conditionalFormatting sqref="I40">
    <cfRule type="expression" priority="8" dxfId="2">
      <formula>I40=""</formula>
    </cfRule>
  </conditionalFormatting>
  <dataValidations count="5">
    <dataValidation sqref="G11 G12 G15 G16 G19" showDropDown="0" showInputMessage="0" showErrorMessage="0" allowBlank="1" errorTitle="Avaliação inválida" error="Escolha Bom, Regular ou Ruim." promptTitle="Avaliação do indicador" prompt="Bom = 100, Regular = 80, Ruim = 30 pontos." type="list">
      <formula1>'Parâmetros'!$A$2:$A$4</formula1>
    </dataValidation>
    <dataValidation sqref="D41" showDropDown="0" showInputMessage="0" showErrorMessage="0" allowBlank="0" errorTitle="Dias trabalhados" error="Informe de 0 a 31 dias." type="whole" operator="between">
      <formula1>0</formula1>
      <formula2>31</formula2>
    </dataValidation>
    <dataValidation sqref="G25:G30" showDropDown="0" showInputMessage="0" showErrorMessage="0" allowBlank="0" errorTitle="Qtd. de faltas" error="As faltas são informadas em horas (número ≥ 0)." type="decimal" operator="greaterThanOrEqual">
      <formula1>0</formula1>
    </dataValidation>
    <dataValidation sqref="E35" showDropDown="0" showInputMessage="0" showErrorMessage="0" allowBlank="0" errorTitle="Reembolsos aprovados" error="Informe a quantidade de reembolsos aprovados." type="whole" operator="greaterThanOrEqual">
      <formula1>0</formula1>
    </dataValidation>
    <dataValidation sqref="I40" showDropDown="0" showInputMessage="0" showErrorMessage="0" allowBlank="0" errorTitle="Valor dos serviços" error="Informe o valor medido no mês." type="decimal" operator="greaterThanOrEqual">
      <formula1>0</formula1>
    </dataValidation>
  </dataValidations>
  <pageMargins left="0.3" right="0.3" top="0.4" bottom="0.4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tabColor rgb="001B5E20"/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18" customWidth="1" min="5" max="5"/>
    <col width="16" customWidth="1" min="6" max="6"/>
    <col width="15" customWidth="1" min="7" max="7"/>
    <col width="17" customWidth="1" min="8" max="8"/>
    <col width="18" customWidth="1" min="9" max="9"/>
  </cols>
  <sheetData>
    <row r="1" ht="24" customHeight="1">
      <c r="A1" s="1" t="inlineStr">
        <is>
          <t>RESUMO DOS 24 PERÍODOS — IMR RODOCON 04/2023 — PREFEITURA UNIVERSITÁRIA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6" customHeight="1">
      <c r="A2" s="12" t="inlineStr">
        <is>
          <t>Período</t>
        </is>
      </c>
      <c r="B2" s="12" t="inlineStr">
        <is>
          <t>Total de pontos</t>
        </is>
      </c>
      <c r="C2" s="12" t="inlineStr">
        <is>
          <t>Nota</t>
        </is>
      </c>
      <c r="D2" s="12" t="inlineStr">
        <is>
          <t>% liberação</t>
        </is>
      </c>
      <c r="E2" s="12" t="inlineStr">
        <is>
          <t>Valor dos serviços</t>
        </is>
      </c>
      <c r="F2" s="12" t="inlineStr">
        <is>
          <t>Desconto (nota)</t>
        </is>
      </c>
      <c r="G2" s="12" t="inlineStr">
        <is>
          <t>Glosa (faltas)</t>
        </is>
      </c>
      <c r="H2" s="12" t="inlineStr">
        <is>
          <t>Reembolso creche</t>
        </is>
      </c>
      <c r="I2" s="12" t="inlineStr">
        <is>
          <t>Valor liberado</t>
        </is>
      </c>
    </row>
    <row r="3">
      <c r="A3" s="8">
        <f>'OUT-26'!B6</f>
        <v/>
      </c>
      <c r="B3" s="59">
        <f>'OUT-26'!C21</f>
        <v/>
      </c>
      <c r="C3" s="4">
        <f>'OUT-26'!F21</f>
        <v/>
      </c>
      <c r="D3" s="60">
        <f>'OUT-26'!I21</f>
        <v/>
      </c>
      <c r="E3" s="61">
        <f>'OUT-26'!I40</f>
        <v/>
      </c>
      <c r="F3" s="61">
        <f>'OUT-26'!I43</f>
        <v/>
      </c>
      <c r="G3" s="61">
        <f>'OUT-26'!I44</f>
        <v/>
      </c>
      <c r="H3" s="61">
        <f>'OUT-26'!I46</f>
        <v/>
      </c>
      <c r="I3" s="42">
        <f>'OUT-26'!I47</f>
        <v/>
      </c>
    </row>
    <row r="4">
      <c r="A4" s="8">
        <f>'NOV-26'!B6</f>
        <v/>
      </c>
      <c r="B4" s="59">
        <f>'NOV-26'!C21</f>
        <v/>
      </c>
      <c r="C4" s="4">
        <f>'NOV-26'!F21</f>
        <v/>
      </c>
      <c r="D4" s="60">
        <f>'NOV-26'!I21</f>
        <v/>
      </c>
      <c r="E4" s="61">
        <f>'NOV-26'!I40</f>
        <v/>
      </c>
      <c r="F4" s="61">
        <f>'NOV-26'!I43</f>
        <v/>
      </c>
      <c r="G4" s="61">
        <f>'NOV-26'!I44</f>
        <v/>
      </c>
      <c r="H4" s="61">
        <f>'NOV-26'!I46</f>
        <v/>
      </c>
      <c r="I4" s="42">
        <f>'NOV-26'!I47</f>
        <v/>
      </c>
    </row>
    <row r="5">
      <c r="A5" s="8">
        <f>'DEZ-26'!B6</f>
        <v/>
      </c>
      <c r="B5" s="59">
        <f>'DEZ-26'!C21</f>
        <v/>
      </c>
      <c r="C5" s="4">
        <f>'DEZ-26'!F21</f>
        <v/>
      </c>
      <c r="D5" s="60">
        <f>'DEZ-26'!I21</f>
        <v/>
      </c>
      <c r="E5" s="61">
        <f>'DEZ-26'!I40</f>
        <v/>
      </c>
      <c r="F5" s="61">
        <f>'DEZ-26'!I43</f>
        <v/>
      </c>
      <c r="G5" s="61">
        <f>'DEZ-26'!I44</f>
        <v/>
      </c>
      <c r="H5" s="61">
        <f>'DEZ-26'!I46</f>
        <v/>
      </c>
      <c r="I5" s="42">
        <f>'DEZ-26'!I47</f>
        <v/>
      </c>
    </row>
    <row r="6">
      <c r="A6" s="8">
        <f>'JAN-27'!B6</f>
        <v/>
      </c>
      <c r="B6" s="59">
        <f>'JAN-27'!C21</f>
        <v/>
      </c>
      <c r="C6" s="4">
        <f>'JAN-27'!F21</f>
        <v/>
      </c>
      <c r="D6" s="60">
        <f>'JAN-27'!I21</f>
        <v/>
      </c>
      <c r="E6" s="61">
        <f>'JAN-27'!I40</f>
        <v/>
      </c>
      <c r="F6" s="61">
        <f>'JAN-27'!I43</f>
        <v/>
      </c>
      <c r="G6" s="61">
        <f>'JAN-27'!I44</f>
        <v/>
      </c>
      <c r="H6" s="61">
        <f>'JAN-27'!I46</f>
        <v/>
      </c>
      <c r="I6" s="42">
        <f>'JAN-27'!I47</f>
        <v/>
      </c>
    </row>
    <row r="7">
      <c r="A7" s="8">
        <f>'FEV-27'!B6</f>
        <v/>
      </c>
      <c r="B7" s="59">
        <f>'FEV-27'!C21</f>
        <v/>
      </c>
      <c r="C7" s="4">
        <f>'FEV-27'!F21</f>
        <v/>
      </c>
      <c r="D7" s="60">
        <f>'FEV-27'!I21</f>
        <v/>
      </c>
      <c r="E7" s="61">
        <f>'FEV-27'!I40</f>
        <v/>
      </c>
      <c r="F7" s="61">
        <f>'FEV-27'!I43</f>
        <v/>
      </c>
      <c r="G7" s="61">
        <f>'FEV-27'!I44</f>
        <v/>
      </c>
      <c r="H7" s="61">
        <f>'FEV-27'!I46</f>
        <v/>
      </c>
      <c r="I7" s="42">
        <f>'FEV-27'!I47</f>
        <v/>
      </c>
    </row>
    <row r="8">
      <c r="A8" s="8">
        <f>'MAR-27'!B6</f>
        <v/>
      </c>
      <c r="B8" s="59">
        <f>'MAR-27'!C21</f>
        <v/>
      </c>
      <c r="C8" s="4">
        <f>'MAR-27'!F21</f>
        <v/>
      </c>
      <c r="D8" s="60">
        <f>'MAR-27'!I21</f>
        <v/>
      </c>
      <c r="E8" s="61">
        <f>'MAR-27'!I40</f>
        <v/>
      </c>
      <c r="F8" s="61">
        <f>'MAR-27'!I43</f>
        <v/>
      </c>
      <c r="G8" s="61">
        <f>'MAR-27'!I44</f>
        <v/>
      </c>
      <c r="H8" s="61">
        <f>'MAR-27'!I46</f>
        <v/>
      </c>
      <c r="I8" s="42">
        <f>'MAR-27'!I47</f>
        <v/>
      </c>
    </row>
    <row r="9">
      <c r="A9" s="8">
        <f>'ABR-27'!B6</f>
        <v/>
      </c>
      <c r="B9" s="59">
        <f>'ABR-27'!C21</f>
        <v/>
      </c>
      <c r="C9" s="4">
        <f>'ABR-27'!F21</f>
        <v/>
      </c>
      <c r="D9" s="60">
        <f>'ABR-27'!I21</f>
        <v/>
      </c>
      <c r="E9" s="61">
        <f>'ABR-27'!I40</f>
        <v/>
      </c>
      <c r="F9" s="61">
        <f>'ABR-27'!I43</f>
        <v/>
      </c>
      <c r="G9" s="61">
        <f>'ABR-27'!I44</f>
        <v/>
      </c>
      <c r="H9" s="61">
        <f>'ABR-27'!I46</f>
        <v/>
      </c>
      <c r="I9" s="42">
        <f>'ABR-27'!I47</f>
        <v/>
      </c>
    </row>
    <row r="10">
      <c r="A10" s="8">
        <f>'MAI-27'!B6</f>
        <v/>
      </c>
      <c r="B10" s="59">
        <f>'MAI-27'!C21</f>
        <v/>
      </c>
      <c r="C10" s="4">
        <f>'MAI-27'!F21</f>
        <v/>
      </c>
      <c r="D10" s="60">
        <f>'MAI-27'!I21</f>
        <v/>
      </c>
      <c r="E10" s="61">
        <f>'MAI-27'!I40</f>
        <v/>
      </c>
      <c r="F10" s="61">
        <f>'MAI-27'!I43</f>
        <v/>
      </c>
      <c r="G10" s="61">
        <f>'MAI-27'!I44</f>
        <v/>
      </c>
      <c r="H10" s="61">
        <f>'MAI-27'!I46</f>
        <v/>
      </c>
      <c r="I10" s="42">
        <f>'MAI-27'!I47</f>
        <v/>
      </c>
    </row>
    <row r="11">
      <c r="A11" s="8">
        <f>'JUN-27'!B6</f>
        <v/>
      </c>
      <c r="B11" s="59">
        <f>'JUN-27'!C21</f>
        <v/>
      </c>
      <c r="C11" s="4">
        <f>'JUN-27'!F21</f>
        <v/>
      </c>
      <c r="D11" s="60">
        <f>'JUN-27'!I21</f>
        <v/>
      </c>
      <c r="E11" s="61">
        <f>'JUN-27'!I40</f>
        <v/>
      </c>
      <c r="F11" s="61">
        <f>'JUN-27'!I43</f>
        <v/>
      </c>
      <c r="G11" s="61">
        <f>'JUN-27'!I44</f>
        <v/>
      </c>
      <c r="H11" s="61">
        <f>'JUN-27'!I46</f>
        <v/>
      </c>
      <c r="I11" s="42">
        <f>'JUN-27'!I47</f>
        <v/>
      </c>
    </row>
    <row r="12">
      <c r="A12" s="8">
        <f>'JUL-27'!B6</f>
        <v/>
      </c>
      <c r="B12" s="59">
        <f>'JUL-27'!C21</f>
        <v/>
      </c>
      <c r="C12" s="4">
        <f>'JUL-27'!F21</f>
        <v/>
      </c>
      <c r="D12" s="60">
        <f>'JUL-27'!I21</f>
        <v/>
      </c>
      <c r="E12" s="61">
        <f>'JUL-27'!I40</f>
        <v/>
      </c>
      <c r="F12" s="61">
        <f>'JUL-27'!I43</f>
        <v/>
      </c>
      <c r="G12" s="61">
        <f>'JUL-27'!I44</f>
        <v/>
      </c>
      <c r="H12" s="61">
        <f>'JUL-27'!I46</f>
        <v/>
      </c>
      <c r="I12" s="42">
        <f>'JUL-27'!I47</f>
        <v/>
      </c>
    </row>
    <row r="13">
      <c r="A13" s="8">
        <f>'AGO-27'!B6</f>
        <v/>
      </c>
      <c r="B13" s="59">
        <f>'AGO-27'!C21</f>
        <v/>
      </c>
      <c r="C13" s="4">
        <f>'AGO-27'!F21</f>
        <v/>
      </c>
      <c r="D13" s="60">
        <f>'AGO-27'!I21</f>
        <v/>
      </c>
      <c r="E13" s="61">
        <f>'AGO-27'!I40</f>
        <v/>
      </c>
      <c r="F13" s="61">
        <f>'AGO-27'!I43</f>
        <v/>
      </c>
      <c r="G13" s="61">
        <f>'AGO-27'!I44</f>
        <v/>
      </c>
      <c r="H13" s="61">
        <f>'AGO-27'!I46</f>
        <v/>
      </c>
      <c r="I13" s="42">
        <f>'AGO-27'!I47</f>
        <v/>
      </c>
    </row>
    <row r="14">
      <c r="A14" s="8">
        <f>'SET-27'!B6</f>
        <v/>
      </c>
      <c r="B14" s="59">
        <f>'SET-27'!C21</f>
        <v/>
      </c>
      <c r="C14" s="4">
        <f>'SET-27'!F21</f>
        <v/>
      </c>
      <c r="D14" s="60">
        <f>'SET-27'!I21</f>
        <v/>
      </c>
      <c r="E14" s="61">
        <f>'SET-27'!I40</f>
        <v/>
      </c>
      <c r="F14" s="61">
        <f>'SET-27'!I43</f>
        <v/>
      </c>
      <c r="G14" s="61">
        <f>'SET-27'!I44</f>
        <v/>
      </c>
      <c r="H14" s="61">
        <f>'SET-27'!I46</f>
        <v/>
      </c>
      <c r="I14" s="42">
        <f>'SET-27'!I47</f>
        <v/>
      </c>
    </row>
    <row r="15">
      <c r="A15" s="8">
        <f>'OUT-27'!B6</f>
        <v/>
      </c>
      <c r="B15" s="59">
        <f>'OUT-27'!C21</f>
        <v/>
      </c>
      <c r="C15" s="4">
        <f>'OUT-27'!F21</f>
        <v/>
      </c>
      <c r="D15" s="60">
        <f>'OUT-27'!I21</f>
        <v/>
      </c>
      <c r="E15" s="61">
        <f>'OUT-27'!I40</f>
        <v/>
      </c>
      <c r="F15" s="61">
        <f>'OUT-27'!I43</f>
        <v/>
      </c>
      <c r="G15" s="61">
        <f>'OUT-27'!I44</f>
        <v/>
      </c>
      <c r="H15" s="61">
        <f>'OUT-27'!I46</f>
        <v/>
      </c>
      <c r="I15" s="42">
        <f>'OUT-27'!I47</f>
        <v/>
      </c>
    </row>
    <row r="16">
      <c r="A16" s="8">
        <f>'NOV-27'!B6</f>
        <v/>
      </c>
      <c r="B16" s="59">
        <f>'NOV-27'!C21</f>
        <v/>
      </c>
      <c r="C16" s="4">
        <f>'NOV-27'!F21</f>
        <v/>
      </c>
      <c r="D16" s="60">
        <f>'NOV-27'!I21</f>
        <v/>
      </c>
      <c r="E16" s="61">
        <f>'NOV-27'!I40</f>
        <v/>
      </c>
      <c r="F16" s="61">
        <f>'NOV-27'!I43</f>
        <v/>
      </c>
      <c r="G16" s="61">
        <f>'NOV-27'!I44</f>
        <v/>
      </c>
      <c r="H16" s="61">
        <f>'NOV-27'!I46</f>
        <v/>
      </c>
      <c r="I16" s="42">
        <f>'NOV-27'!I47</f>
        <v/>
      </c>
    </row>
    <row r="17">
      <c r="A17" s="8">
        <f>'DEZ-27'!B6</f>
        <v/>
      </c>
      <c r="B17" s="59">
        <f>'DEZ-27'!C21</f>
        <v/>
      </c>
      <c r="C17" s="4">
        <f>'DEZ-27'!F21</f>
        <v/>
      </c>
      <c r="D17" s="60">
        <f>'DEZ-27'!I21</f>
        <v/>
      </c>
      <c r="E17" s="61">
        <f>'DEZ-27'!I40</f>
        <v/>
      </c>
      <c r="F17" s="61">
        <f>'DEZ-27'!I43</f>
        <v/>
      </c>
      <c r="G17" s="61">
        <f>'DEZ-27'!I44</f>
        <v/>
      </c>
      <c r="H17" s="61">
        <f>'DEZ-27'!I46</f>
        <v/>
      </c>
      <c r="I17" s="42">
        <f>'DEZ-27'!I47</f>
        <v/>
      </c>
    </row>
    <row r="18">
      <c r="A18" s="8">
        <f>'JAN-28'!B6</f>
        <v/>
      </c>
      <c r="B18" s="59">
        <f>'JAN-28'!C21</f>
        <v/>
      </c>
      <c r="C18" s="4">
        <f>'JAN-28'!F21</f>
        <v/>
      </c>
      <c r="D18" s="60">
        <f>'JAN-28'!I21</f>
        <v/>
      </c>
      <c r="E18" s="61">
        <f>'JAN-28'!I40</f>
        <v/>
      </c>
      <c r="F18" s="61">
        <f>'JAN-28'!I43</f>
        <v/>
      </c>
      <c r="G18" s="61">
        <f>'JAN-28'!I44</f>
        <v/>
      </c>
      <c r="H18" s="61">
        <f>'JAN-28'!I46</f>
        <v/>
      </c>
      <c r="I18" s="42">
        <f>'JAN-28'!I47</f>
        <v/>
      </c>
    </row>
    <row r="19">
      <c r="A19" s="8">
        <f>'FEV-28'!B6</f>
        <v/>
      </c>
      <c r="B19" s="59">
        <f>'FEV-28'!C21</f>
        <v/>
      </c>
      <c r="C19" s="4">
        <f>'FEV-28'!F21</f>
        <v/>
      </c>
      <c r="D19" s="60">
        <f>'FEV-28'!I21</f>
        <v/>
      </c>
      <c r="E19" s="61">
        <f>'FEV-28'!I40</f>
        <v/>
      </c>
      <c r="F19" s="61">
        <f>'FEV-28'!I43</f>
        <v/>
      </c>
      <c r="G19" s="61">
        <f>'FEV-28'!I44</f>
        <v/>
      </c>
      <c r="H19" s="61">
        <f>'FEV-28'!I46</f>
        <v/>
      </c>
      <c r="I19" s="42">
        <f>'FEV-28'!I47</f>
        <v/>
      </c>
    </row>
    <row r="20">
      <c r="A20" s="8">
        <f>'MAR-28'!B6</f>
        <v/>
      </c>
      <c r="B20" s="59">
        <f>'MAR-28'!C21</f>
        <v/>
      </c>
      <c r="C20" s="4">
        <f>'MAR-28'!F21</f>
        <v/>
      </c>
      <c r="D20" s="60">
        <f>'MAR-28'!I21</f>
        <v/>
      </c>
      <c r="E20" s="61">
        <f>'MAR-28'!I40</f>
        <v/>
      </c>
      <c r="F20" s="61">
        <f>'MAR-28'!I43</f>
        <v/>
      </c>
      <c r="G20" s="61">
        <f>'MAR-28'!I44</f>
        <v/>
      </c>
      <c r="H20" s="61">
        <f>'MAR-28'!I46</f>
        <v/>
      </c>
      <c r="I20" s="42">
        <f>'MAR-28'!I47</f>
        <v/>
      </c>
    </row>
    <row r="21">
      <c r="A21" s="8">
        <f>'ABR-28'!B6</f>
        <v/>
      </c>
      <c r="B21" s="59">
        <f>'ABR-28'!C21</f>
        <v/>
      </c>
      <c r="C21" s="4">
        <f>'ABR-28'!F21</f>
        <v/>
      </c>
      <c r="D21" s="60">
        <f>'ABR-28'!I21</f>
        <v/>
      </c>
      <c r="E21" s="61">
        <f>'ABR-28'!I40</f>
        <v/>
      </c>
      <c r="F21" s="61">
        <f>'ABR-28'!I43</f>
        <v/>
      </c>
      <c r="G21" s="61">
        <f>'ABR-28'!I44</f>
        <v/>
      </c>
      <c r="H21" s="61">
        <f>'ABR-28'!I46</f>
        <v/>
      </c>
      <c r="I21" s="42">
        <f>'ABR-28'!I47</f>
        <v/>
      </c>
    </row>
    <row r="22">
      <c r="A22" s="8">
        <f>'MAI-28'!B6</f>
        <v/>
      </c>
      <c r="B22" s="59">
        <f>'MAI-28'!C21</f>
        <v/>
      </c>
      <c r="C22" s="4">
        <f>'MAI-28'!F21</f>
        <v/>
      </c>
      <c r="D22" s="60">
        <f>'MAI-28'!I21</f>
        <v/>
      </c>
      <c r="E22" s="61">
        <f>'MAI-28'!I40</f>
        <v/>
      </c>
      <c r="F22" s="61">
        <f>'MAI-28'!I43</f>
        <v/>
      </c>
      <c r="G22" s="61">
        <f>'MAI-28'!I44</f>
        <v/>
      </c>
      <c r="H22" s="61">
        <f>'MAI-28'!I46</f>
        <v/>
      </c>
      <c r="I22" s="42">
        <f>'MAI-28'!I47</f>
        <v/>
      </c>
    </row>
    <row r="23">
      <c r="A23" s="8">
        <f>'JUN-28'!B6</f>
        <v/>
      </c>
      <c r="B23" s="59">
        <f>'JUN-28'!C21</f>
        <v/>
      </c>
      <c r="C23" s="4">
        <f>'JUN-28'!F21</f>
        <v/>
      </c>
      <c r="D23" s="60">
        <f>'JUN-28'!I21</f>
        <v/>
      </c>
      <c r="E23" s="61">
        <f>'JUN-28'!I40</f>
        <v/>
      </c>
      <c r="F23" s="61">
        <f>'JUN-28'!I43</f>
        <v/>
      </c>
      <c r="G23" s="61">
        <f>'JUN-28'!I44</f>
        <v/>
      </c>
      <c r="H23" s="61">
        <f>'JUN-28'!I46</f>
        <v/>
      </c>
      <c r="I23" s="42">
        <f>'JUN-28'!I47</f>
        <v/>
      </c>
    </row>
    <row r="24">
      <c r="A24" s="8">
        <f>'JUL-28'!B6</f>
        <v/>
      </c>
      <c r="B24" s="59">
        <f>'JUL-28'!C21</f>
        <v/>
      </c>
      <c r="C24" s="4">
        <f>'JUL-28'!F21</f>
        <v/>
      </c>
      <c r="D24" s="60">
        <f>'JUL-28'!I21</f>
        <v/>
      </c>
      <c r="E24" s="61">
        <f>'JUL-28'!I40</f>
        <v/>
      </c>
      <c r="F24" s="61">
        <f>'JUL-28'!I43</f>
        <v/>
      </c>
      <c r="G24" s="61">
        <f>'JUL-28'!I44</f>
        <v/>
      </c>
      <c r="H24" s="61">
        <f>'JUL-28'!I46</f>
        <v/>
      </c>
      <c r="I24" s="42">
        <f>'JUL-28'!I47</f>
        <v/>
      </c>
    </row>
    <row r="25">
      <c r="A25" s="8">
        <f>'AGO-28'!B6</f>
        <v/>
      </c>
      <c r="B25" s="59">
        <f>'AGO-28'!C21</f>
        <v/>
      </c>
      <c r="C25" s="4">
        <f>'AGO-28'!F21</f>
        <v/>
      </c>
      <c r="D25" s="60">
        <f>'AGO-28'!I21</f>
        <v/>
      </c>
      <c r="E25" s="61">
        <f>'AGO-28'!I40</f>
        <v/>
      </c>
      <c r="F25" s="61">
        <f>'AGO-28'!I43</f>
        <v/>
      </c>
      <c r="G25" s="61">
        <f>'AGO-28'!I44</f>
        <v/>
      </c>
      <c r="H25" s="61">
        <f>'AGO-28'!I46</f>
        <v/>
      </c>
      <c r="I25" s="42">
        <f>'AGO-28'!I47</f>
        <v/>
      </c>
    </row>
    <row r="26">
      <c r="A26" s="8">
        <f>'SET-28'!B6</f>
        <v/>
      </c>
      <c r="B26" s="59">
        <f>'SET-28'!C21</f>
        <v/>
      </c>
      <c r="C26" s="4">
        <f>'SET-28'!F21</f>
        <v/>
      </c>
      <c r="D26" s="60">
        <f>'SET-28'!I21</f>
        <v/>
      </c>
      <c r="E26" s="61">
        <f>'SET-28'!I40</f>
        <v/>
      </c>
      <c r="F26" s="61">
        <f>'SET-28'!I43</f>
        <v/>
      </c>
      <c r="G26" s="61">
        <f>'SET-28'!I44</f>
        <v/>
      </c>
      <c r="H26" s="61">
        <f>'SET-28'!I46</f>
        <v/>
      </c>
      <c r="I26" s="42">
        <f>'SET-28'!I47</f>
        <v/>
      </c>
    </row>
    <row r="27">
      <c r="A27" s="3" t="inlineStr">
        <is>
          <t>TOTAL</t>
        </is>
      </c>
      <c r="B27" s="62" t="n"/>
      <c r="C27" s="62" t="n"/>
      <c r="D27" s="62" t="n"/>
      <c r="E27" s="63">
        <f>SUM(E3:E26)</f>
        <v/>
      </c>
      <c r="F27" s="63">
        <f>SUM(F3:F26)</f>
        <v/>
      </c>
      <c r="G27" s="63">
        <f>SUM(G3:G26)</f>
        <v/>
      </c>
      <c r="H27" s="63">
        <f>SUM(H3:H26)</f>
        <v/>
      </c>
      <c r="I27" s="63">
        <f>SUM(I3:I26)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80808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" customWidth="1" min="3" max="3"/>
    <col width="16" customWidth="1" min="4" max="4"/>
    <col width="8" customWidth="1" min="5" max="5"/>
    <col width="14" customWidth="1" min="6" max="6"/>
    <col width="3" customWidth="1" min="7" max="7"/>
    <col width="38" customWidth="1" min="8" max="8"/>
    <col width="18" customWidth="1" min="9" max="9"/>
  </cols>
  <sheetData>
    <row r="1">
      <c r="A1" s="12" t="inlineStr">
        <is>
          <t>Avaliação</t>
        </is>
      </c>
      <c r="B1" s="12" t="inlineStr">
        <is>
          <t>Pontos</t>
        </is>
      </c>
      <c r="D1" s="12" t="inlineStr">
        <is>
          <t>Pontos (mínimo)</t>
        </is>
      </c>
      <c r="E1" s="12" t="inlineStr">
        <is>
          <t>Nota</t>
        </is>
      </c>
      <c r="F1" s="12" t="inlineStr">
        <is>
          <t>% de liberação</t>
        </is>
      </c>
      <c r="H1" s="12" t="inlineStr">
        <is>
          <t>Parâmetro</t>
        </is>
      </c>
      <c r="I1" s="12" t="inlineStr">
        <is>
          <t>Valor</t>
        </is>
      </c>
    </row>
    <row r="2">
      <c r="A2" s="64" t="inlineStr">
        <is>
          <t>Bom</t>
        </is>
      </c>
      <c r="B2" s="64" t="n">
        <v>100</v>
      </c>
      <c r="D2" s="64" t="n">
        <v>0</v>
      </c>
      <c r="E2" s="4" t="inlineStr">
        <is>
          <t>G</t>
        </is>
      </c>
      <c r="F2" s="60" t="n">
        <v>0.8</v>
      </c>
      <c r="H2" s="6" t="inlineStr">
        <is>
          <t>Horas contratadas por posto/mês</t>
        </is>
      </c>
      <c r="I2" s="65" t="n">
        <v>200</v>
      </c>
    </row>
    <row r="3">
      <c r="A3" s="64" t="inlineStr">
        <is>
          <t>Regular</t>
        </is>
      </c>
      <c r="B3" s="64" t="n">
        <v>80</v>
      </c>
      <c r="D3" s="64" t="n">
        <v>50</v>
      </c>
      <c r="E3" s="4" t="inlineStr">
        <is>
          <t>F</t>
        </is>
      </c>
      <c r="F3" s="60" t="n">
        <v>0.83</v>
      </c>
      <c r="H3" s="6" t="inlineStr">
        <is>
          <t>Dias-base do mês</t>
        </is>
      </c>
      <c r="I3" s="65" t="n">
        <v>30</v>
      </c>
    </row>
    <row r="4">
      <c r="A4" s="64" t="inlineStr">
        <is>
          <t>Ruim</t>
        </is>
      </c>
      <c r="B4" s="64" t="n">
        <v>30</v>
      </c>
      <c r="D4" s="64" t="n">
        <v>60</v>
      </c>
      <c r="E4" s="4" t="inlineStr">
        <is>
          <t>E</t>
        </is>
      </c>
      <c r="F4" s="60" t="n">
        <v>0.86</v>
      </c>
      <c r="H4" s="6" t="inlineStr">
        <is>
          <t>QTD TOTAL (planilha orçamentária)</t>
        </is>
      </c>
      <c r="I4" s="66" t="n">
        <v>10152712.7675</v>
      </c>
    </row>
    <row r="5">
      <c r="D5" s="64" t="n">
        <v>70</v>
      </c>
      <c r="E5" s="4" t="inlineStr">
        <is>
          <t>D</t>
        </is>
      </c>
      <c r="F5" s="60" t="n">
        <v>0.89</v>
      </c>
      <c r="H5" s="6" t="inlineStr">
        <is>
          <t>VALOR UNITÁRIO (planilha orçamentária)</t>
        </is>
      </c>
      <c r="I5" s="67" t="n">
        <v>0.6965777399999999</v>
      </c>
    </row>
    <row r="6">
      <c r="D6" s="64" t="n">
        <v>78</v>
      </c>
      <c r="E6" s="4" t="inlineStr">
        <is>
          <t>C</t>
        </is>
      </c>
      <c r="F6" s="60" t="n">
        <v>0.92</v>
      </c>
      <c r="H6" s="6" t="inlineStr">
        <is>
          <t>Reembolso-creche por dependente</t>
        </is>
      </c>
      <c r="I6" s="68" t="n">
        <v>526.64</v>
      </c>
    </row>
    <row r="7">
      <c r="A7" s="10" t="inlineStr">
        <is>
          <t>Tabela de notas conforme o IMR do contrato 04/2023. Alterar aqui muda o cálculo de todas as abas.</t>
        </is>
      </c>
      <c r="D7" s="64" t="n">
        <v>84</v>
      </c>
      <c r="E7" s="4" t="inlineStr">
        <is>
          <t>B</t>
        </is>
      </c>
      <c r="F7" s="60" t="n">
        <v>0.95</v>
      </c>
      <c r="H7" s="6" t="inlineStr">
        <is>
          <t>Creche: estimado unitário por colaborador</t>
        </is>
      </c>
      <c r="I7" s="68" t="n">
        <v>129.29</v>
      </c>
    </row>
    <row r="8">
      <c r="D8" s="64" t="n">
        <v>92</v>
      </c>
      <c r="E8" s="4" t="inlineStr">
        <is>
          <t>A</t>
        </is>
      </c>
      <c r="F8" s="60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2026-10-30T13:57:04Z</dcterms:created>
  <dcterms:modified xsi:type="dcterms:W3CDTF">2026-10-30T13:57:04Z</dcterms:modified>
</cp:coreProperties>
</file>