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3" autoFilterDateGrouping="1"/>
  </bookViews>
  <sheets>
    <sheet name="Resumo" sheetId="1" state="hidden" r:id="rId1"/>
    <sheet name="Fevereiro 2024" sheetId="2" state="hidden" r:id="rId2"/>
    <sheet name="Março 2024" sheetId="3" state="hidden" r:id="rId3"/>
    <sheet name="Abril 2024" sheetId="4" state="hidden" r:id="rId4"/>
    <sheet name="Maio 2024" sheetId="5" state="hidden" r:id="rId5"/>
    <sheet name="Junho 2024" sheetId="6" state="hidden" r:id="rId6"/>
    <sheet name="Julho 2024" sheetId="7" state="hidden" r:id="rId7"/>
    <sheet name="Agosto 2024" sheetId="8" state="hidden" r:id="rId8"/>
    <sheet name="Setembro 2024" sheetId="9" state="hidden" r:id="rId9"/>
    <sheet name="Outubro 2024" sheetId="10" state="hidden" r:id="rId10"/>
    <sheet name="Novembro 2024" sheetId="11" state="hidden" r:id="rId11"/>
    <sheet name="Dezembro 2024" sheetId="12" state="hidden" r:id="rId12"/>
    <sheet name="Janeiro 2025" sheetId="13" state="hidden" r:id="rId13"/>
    <sheet name="Fevereiro 2025" sheetId="14" state="hidden" r:id="rId14"/>
    <sheet name="Março 2025" sheetId="15" state="hidden" r:id="rId15"/>
    <sheet name="Abril 2025" sheetId="16" state="hidden" r:id="rId16"/>
    <sheet name="Maio 2025" sheetId="17" state="hidden" r:id="rId17"/>
    <sheet name="Junho 2025" sheetId="18" state="hidden" r:id="rId18"/>
    <sheet name="Julho 2025" sheetId="19" state="hidden" r:id="rId19"/>
    <sheet name="Agosto 2025" sheetId="20" state="hidden" r:id="rId20"/>
    <sheet name="Setembro 2025" sheetId="21" state="hidden" r:id="rId21"/>
    <sheet name="Outubro 2025" sheetId="22" state="hidden" r:id="rId22"/>
    <sheet name="Novembro 2025" sheetId="23" state="hidden" r:id="rId23"/>
    <sheet name="Dezembro 2025" sheetId="24" state="hidden" r:id="rId24"/>
    <sheet name="Janeiro 2026" sheetId="25" state="hidden" r:id="rId25"/>
    <sheet name="Fevereiro 2026" sheetId="26" state="hidden" r:id="rId26"/>
    <sheet name="Março 2026" sheetId="27" state="hidden" r:id="rId27"/>
    <sheet name="Abril 2026" sheetId="28" state="hidden" r:id="rId28"/>
    <sheet name="Maio 2026" sheetId="29" state="hidden" r:id="rId29"/>
    <sheet name="Junho 2026" sheetId="30" state="hidden" r:id="rId30"/>
    <sheet name="Julho 2026" sheetId="31" state="hidden" r:id="rId31"/>
    <sheet name="Agosto 2026" sheetId="32" state="hidden" r:id="rId32"/>
    <sheet name="Setembro 2026" sheetId="33" state="hidden" r:id="rId33"/>
    <sheet name="Outubro 2026" sheetId="34" state="visible" r:id="rId34"/>
    <sheet name="Novembro 2026" sheetId="35" state="visible" r:id="rId35"/>
    <sheet name="Dezembro 2026" sheetId="36" state="visible" r:id="rId36"/>
    <sheet name="Janeiro 2027" sheetId="37" state="visible" r:id="rId37"/>
    <sheet name="Fevereiro 2027" sheetId="38" state="visible" r:id="rId38"/>
    <sheet name="Março 2027" sheetId="39" state="hidden" r:id="rId39"/>
    <sheet name="Abril 2027" sheetId="40" state="hidden" r:id="rId40"/>
    <sheet name="Maio 2027" sheetId="41" state="hidden" r:id="rId41"/>
    <sheet name="Junho 2027" sheetId="42" state="hidden" r:id="rId42"/>
    <sheet name="Julho 2027" sheetId="43" state="hidden" r:id="rId43"/>
    <sheet name="Agosto 2027" sheetId="44" state="hidden" r:id="rId44"/>
    <sheet name="Setembro 2027" sheetId="45" state="hidden" r:id="rId45"/>
    <sheet name="Outubro 2027" sheetId="46" state="hidden" r:id="rId46"/>
    <sheet name="Novembro 2027" sheetId="47" state="hidden" r:id="rId47"/>
    <sheet name="Dezembro 2027" sheetId="48" state="hidden" r:id="rId48"/>
    <sheet name="Janeiro 2028" sheetId="49" state="hidden" r:id="rId49"/>
    <sheet name="Fevereiro 2028" sheetId="50" state="hidden" r:id="rId50"/>
    <sheet name="Março 2028" sheetId="51" state="hidden" r:id="rId51"/>
    <sheet name="Abril 2028" sheetId="52" state="hidden" r:id="rId52"/>
    <sheet name="Maio 2028" sheetId="53" state="hidden" r:id="rId53"/>
    <sheet name="Junho 2028" sheetId="54" state="hidden" r:id="rId54"/>
    <sheet name="Julho 2028" sheetId="55" state="hidden" r:id="rId55"/>
    <sheet name="Agosto 2028" sheetId="56" state="hidden" r:id="rId56"/>
    <sheet name="Setembro 2028" sheetId="57" state="hidden" r:id="rId57"/>
    <sheet name="Outubro 2028" sheetId="58" state="hidden" r:id="rId58"/>
    <sheet name="Novembro 2028" sheetId="59" state="hidden" r:id="rId59"/>
    <sheet name="Dezembro 2028" sheetId="60" state="hidden" r:id="rId60"/>
    <sheet name="Janeiro 2029" sheetId="61" state="hidden" r:id="rId61"/>
  </sheets>
  <definedNames>
    <definedName name="_xlnm.Print_Area" localSheetId="1">'Fevereiro 2024'!$B$1:$I$94</definedName>
    <definedName name="_xlnm.Print_Area" localSheetId="2">'Março 2024'!$B$1:$I$94</definedName>
    <definedName name="_xlnm.Print_Area" localSheetId="3">'Abril 2024'!$B$1:$I$94</definedName>
    <definedName name="_xlnm.Print_Area" localSheetId="4">'Maio 2024'!$B$1:$I$94</definedName>
    <definedName name="_xlnm.Print_Area" localSheetId="5">'Junho 2024'!$B$1:$I$94</definedName>
    <definedName name="_xlnm.Print_Area" localSheetId="6">'Julho 2024'!$B$1:$I$94</definedName>
    <definedName name="_xlnm.Print_Area" localSheetId="7">'Agosto 2024'!$B$1:$I$94</definedName>
    <definedName name="_xlnm.Print_Area" localSheetId="8">'Setembro 2024'!$B$1:$I$94</definedName>
    <definedName name="_xlnm.Print_Area" localSheetId="9">'Outubro 2024'!$B$1:$I$94</definedName>
    <definedName name="_xlnm.Print_Area" localSheetId="10">'Novembro 2024'!$B$1:$I$94</definedName>
    <definedName name="_xlnm.Print_Area" localSheetId="11">'Dezembro 2024'!$B$1:$I$94</definedName>
    <definedName name="_xlnm.Print_Area" localSheetId="12">'Janeiro 2025'!$B$1:$I$94</definedName>
    <definedName name="_xlnm.Print_Area" localSheetId="13">'Fevereiro 2025'!$B$1:$I$94</definedName>
    <definedName name="_xlnm.Print_Area" localSheetId="14">'Março 2025'!$B$1:$I$94</definedName>
    <definedName name="_xlnm.Print_Area" localSheetId="15">'Abril 2025'!$B$1:$I$94</definedName>
    <definedName name="_xlnm.Print_Area" localSheetId="16">'Maio 2025'!$B$1:$I$94</definedName>
    <definedName name="_xlnm.Print_Area" localSheetId="17">'Junho 2025'!$B$1:$I$94</definedName>
    <definedName name="_xlnm.Print_Area" localSheetId="18">'Julho 2025'!$B$1:$I$94</definedName>
    <definedName name="_xlnm.Print_Area" localSheetId="19">'Agosto 2025'!$B$1:$I$94</definedName>
    <definedName name="_xlnm.Print_Area" localSheetId="20">'Setembro 2025'!$B$1:$I$94</definedName>
    <definedName name="_xlnm.Print_Area" localSheetId="21">'Outubro 2025'!$B$1:$I$94</definedName>
    <definedName name="_xlnm.Print_Area" localSheetId="22">'Novembro 2025'!$B$1:$I$94</definedName>
    <definedName name="_xlnm.Print_Area" localSheetId="23">'Dezembro 2025'!$B$1:$I$94</definedName>
    <definedName name="_xlnm.Print_Area" localSheetId="24">'Janeiro 2026'!$B$1:$I$94</definedName>
    <definedName name="_xlnm.Print_Area" localSheetId="25">'Fevereiro 2026'!$B$1:$I$94</definedName>
    <definedName name="_xlnm.Print_Area" localSheetId="26">'Março 2026'!$B$1:$I$94</definedName>
    <definedName name="_xlnm.Print_Area" localSheetId="27">'Abril 2026'!$B$1:$I$94</definedName>
    <definedName name="_xlnm.Print_Area" localSheetId="28">'Maio 2026'!$B$1:$I$94</definedName>
    <definedName name="_xlnm.Print_Area" localSheetId="29">'Junho 2026'!$B$1:$I$94</definedName>
    <definedName name="_xlnm.Print_Area" localSheetId="30">'Julho 2026'!$B$1:$I$94</definedName>
    <definedName name="_xlnm.Print_Area" localSheetId="31">'Agosto 2026'!$B$1:$I$94</definedName>
    <definedName name="_xlnm.Print_Area" localSheetId="32">'Setembro 2026'!$B$1:$I$94</definedName>
    <definedName name="_xlnm.Print_Area" localSheetId="33">'Outubro 2026'!$B$1:$I$94</definedName>
    <definedName name="_xlnm.Print_Area" localSheetId="34">'Novembro 2026'!$B$1:$I$94</definedName>
    <definedName name="_xlnm.Print_Area" localSheetId="35">'Dezembro 2026'!$B$1:$I$94</definedName>
    <definedName name="_xlnm.Print_Area" localSheetId="36">'Janeiro 2027'!$B$1:$I$94</definedName>
    <definedName name="_xlnm.Print_Area" localSheetId="37">'Fevereiro 2027'!$B$1:$I$94</definedName>
    <definedName name="_xlnm.Print_Area" localSheetId="38">'Março 2027'!$B$1:$I$94</definedName>
    <definedName name="_xlnm.Print_Area" localSheetId="39">'Abril 2027'!$B$1:$I$94</definedName>
    <definedName name="_xlnm.Print_Area" localSheetId="40">'Maio 2027'!$B$1:$I$94</definedName>
    <definedName name="_xlnm.Print_Area" localSheetId="41">'Junho 2027'!$B$1:$I$94</definedName>
    <definedName name="_xlnm.Print_Area" localSheetId="42">'Julho 2027'!$B$1:$I$94</definedName>
    <definedName name="_xlnm.Print_Area" localSheetId="43">'Agosto 2027'!$B$1:$I$94</definedName>
    <definedName name="_xlnm.Print_Area" localSheetId="44">'Setembro 2027'!$B$1:$I$94</definedName>
    <definedName name="_xlnm.Print_Area" localSheetId="45">'Outubro 2027'!$B$1:$I$94</definedName>
    <definedName name="_xlnm.Print_Area" localSheetId="46">'Novembro 2027'!$B$1:$I$94</definedName>
    <definedName name="_xlnm.Print_Area" localSheetId="47">'Dezembro 2027'!$B$1:$I$94</definedName>
    <definedName name="_xlnm.Print_Area" localSheetId="48">'Janeiro 2028'!$B$1:$I$94</definedName>
    <definedName name="_xlnm.Print_Area" localSheetId="49">'Fevereiro 2028'!$B$1:$I$94</definedName>
    <definedName name="_xlnm.Print_Area" localSheetId="50">'Março 2028'!$B$1:$I$94</definedName>
    <definedName name="_xlnm.Print_Area" localSheetId="51">'Abril 2028'!$B$1:$I$94</definedName>
    <definedName name="_xlnm.Print_Area" localSheetId="52">'Maio 2028'!$B$1:$I$94</definedName>
    <definedName name="_xlnm.Print_Area" localSheetId="53">'Junho 2028'!$B$1:$I$94</definedName>
    <definedName name="_xlnm.Print_Area" localSheetId="54">'Julho 2028'!$B$1:$I$94</definedName>
    <definedName name="_xlnm.Print_Area" localSheetId="55">'Agosto 2028'!$B$1:$I$94</definedName>
    <definedName name="_xlnm.Print_Area" localSheetId="56">'Setembro 2028'!$B$1:$I$94</definedName>
    <definedName name="_xlnm.Print_Area" localSheetId="57">'Outubro 2028'!$B$1:$I$94</definedName>
    <definedName name="_xlnm.Print_Area" localSheetId="58">'Novembro 2028'!$B$1:$I$94</definedName>
    <definedName name="_xlnm.Print_Area" localSheetId="59">'Dezembro 2028'!$B$1:$I$94</definedName>
    <definedName name="_xlnm.Print_Area" localSheetId="60">'Janeiro 2029'!$B$1:$I$94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864"/>
    </font>
    <font>
      <name val="Arial"/>
      <color rgb="00000000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C00000"/>
      <sz val="9"/>
    </font>
    <font>
      <name val="Arial"/>
      <b val="1"/>
      <color rgb="00FFFFFF"/>
      <sz val="13"/>
    </font>
    <font>
      <name val="Arial"/>
      <b val="1"/>
      <color rgb="001F3864"/>
      <sz val="13"/>
    </font>
    <font>
      <name val="Arial"/>
      <i val="1"/>
      <sz val="8"/>
    </font>
    <font>
      <name val="Arial"/>
      <sz val="9"/>
    </font>
    <font>
      <name val="Arial"/>
      <color rgb="00888888"/>
      <sz val="9"/>
    </font>
    <font>
      <name val="Arial"/>
      <i val="1"/>
      <color rgb="00555555"/>
      <sz val="9"/>
    </font>
    <font>
      <name val="Arial"/>
      <b val="1"/>
      <color rgb="001B5E20"/>
    </font>
    <font>
      <name val="Arial"/>
      <b val="1"/>
      <color rgb="00B71C1C"/>
    </font>
    <font>
      <name val="Arial"/>
      <b val="1"/>
      <color rgb="00E65100"/>
    </font>
    <font>
      <name val="Arial"/>
      <b val="1"/>
      <color rgb="00000000"/>
    </font>
    <font>
      <name val="Arial"/>
      <b val="1"/>
      <color rgb="001B5E20"/>
      <sz val="12"/>
    </font>
    <font>
      <name val="Arial"/>
      <i val="1"/>
      <sz val="9"/>
    </font>
    <font>
      <name val="Arial"/>
      <color rgb="000000FF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2E74B5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556B2F"/>
      </patternFill>
    </fill>
    <fill>
      <patternFill patternType="solid">
        <fgColor rgb="006B8E23"/>
      </patternFill>
    </fill>
    <fill>
      <patternFill patternType="solid">
        <fgColor rgb="00F9FCE8"/>
      </patternFill>
    </fill>
    <fill>
      <patternFill patternType="solid">
        <fgColor rgb="00FFCDD2"/>
      </patternFill>
    </fill>
    <fill>
      <patternFill patternType="solid">
        <fgColor rgb="00F57F17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9" fillId="0" borderId="0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14" fillId="7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4" fontId="2" fillId="3" borderId="1" pivotButton="0" quotePrefix="0" xfId="0"/>
    <xf numFmtId="164" fontId="2" fillId="7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4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4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2" fillId="8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3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4" fillId="7" borderId="1" applyAlignment="1" pivotButton="0" quotePrefix="0" xfId="0">
      <alignment horizontal="right" vertical="center"/>
    </xf>
    <xf numFmtId="9" fontId="14" fillId="7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 wrapText="1"/>
    </xf>
    <xf numFmtId="164" fontId="15" fillId="7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left" vertical="center" wrapText="1"/>
    </xf>
    <xf numFmtId="164" fontId="18" fillId="14" borderId="1" applyAlignment="1" pivotButton="0" quotePrefix="0" xfId="0">
      <alignment horizontal="right" vertical="center"/>
    </xf>
    <xf numFmtId="0" fontId="1" fillId="1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3" fontId="5" fillId="5" borderId="1" applyAlignment="1" applyProtection="1" pivotButton="0" quotePrefix="0" xfId="0">
      <alignment horizontal="right" vertical="center"/>
      <protection locked="0" hidden="0"/>
    </xf>
    <xf numFmtId="0" fontId="15" fillId="0" borderId="1" applyAlignment="1" pivotButton="0" quotePrefix="0" xfId="0">
      <alignment horizontal="left" vertical="center" wrapText="1"/>
    </xf>
    <xf numFmtId="0" fontId="0" fillId="5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40" customWidth="1" min="3" max="3"/>
    <col width="8" customWidth="1" min="4" max="4"/>
    <col width="16" customWidth="1" min="5" max="5"/>
    <col width="9" customWidth="1" min="6" max="6"/>
    <col width="18" customWidth="1" min="7" max="7"/>
    <col width="9" customWidth="1" min="8" max="8"/>
    <col width="9" customWidth="1" min="9" max="9"/>
    <col width="18" customWidth="1" min="10" max="10"/>
  </cols>
  <sheetData>
    <row r="1" ht="20" customHeight="1">
      <c r="B1" s="1" t="inlineStr">
        <is>
          <t>ANGEL'S 05/24 — MACAÉ — RESUMO DOS 60 MESES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B2" s="3" t="inlineStr">
        <is>
          <t>Cada mês tem sua aba. Valores calculados a partir das abas.</t>
        </is>
      </c>
    </row>
    <row r="3">
      <c r="B3" s="4" t="inlineStr">
        <is>
          <t>Mês</t>
        </is>
      </c>
      <c r="C3" s="4" t="inlineStr">
        <is>
          <t>Posto (1º)</t>
        </is>
      </c>
      <c r="D3" s="4" t="inlineStr">
        <is>
          <t>Qtde</t>
        </is>
      </c>
      <c r="E3" s="4" t="inlineStr">
        <is>
          <t>Valor Unit. (R$)</t>
        </is>
      </c>
      <c r="F3" s="4" t="inlineStr">
        <is>
          <t>Dias</t>
        </is>
      </c>
      <c r="G3" s="4" t="inlineStr">
        <is>
          <t>Contratado Mensal (R$)</t>
        </is>
      </c>
      <c r="H3" s="4" t="inlineStr">
        <is>
          <t>Conceito</t>
        </is>
      </c>
      <c r="I3" s="4" t="inlineStr">
        <is>
          <t>%</t>
        </is>
      </c>
      <c r="J3" s="4" t="inlineStr">
        <is>
          <t>Valor Aprovado (R$)</t>
        </is>
      </c>
    </row>
    <row r="4">
      <c r="B4" s="5">
        <f>HYPERLINK("#'Fevereiro 2024'!B1","Fevereiro 2024")</f>
        <v/>
      </c>
      <c r="C4" s="6">
        <f>'Fevereiro 2024'!C42</f>
        <v/>
      </c>
      <c r="D4" s="7">
        <f>'Fevereiro 2024'!D42</f>
        <v/>
      </c>
      <c r="E4" s="8">
        <f>'Fevereiro 2024'!E42</f>
        <v/>
      </c>
      <c r="F4" s="7">
        <f>'Fevereiro 2024'!C37</f>
        <v/>
      </c>
      <c r="G4" s="8">
        <f>'Fevereiro 2024'!K49</f>
        <v/>
      </c>
      <c r="H4" s="9">
        <f>'Fevereiro 2024'!C33</f>
        <v/>
      </c>
      <c r="I4" s="10">
        <f>'Fevereiro 2024'!F33</f>
        <v/>
      </c>
      <c r="J4" s="11">
        <f>'Fevereiro 2024'!E66</f>
        <v/>
      </c>
    </row>
    <row r="5">
      <c r="B5" s="5">
        <f>HYPERLINK("#'Março 2024'!B1","Março 2024")</f>
        <v/>
      </c>
      <c r="C5" s="6">
        <f>'Março 2024'!C42</f>
        <v/>
      </c>
      <c r="D5" s="7">
        <f>'Março 2024'!D42</f>
        <v/>
      </c>
      <c r="E5" s="8">
        <f>'Março 2024'!E42</f>
        <v/>
      </c>
      <c r="F5" s="7">
        <f>'Março 2024'!C37</f>
        <v/>
      </c>
      <c r="G5" s="8">
        <f>'Março 2024'!K49</f>
        <v/>
      </c>
      <c r="H5" s="9">
        <f>'Março 2024'!C33</f>
        <v/>
      </c>
      <c r="I5" s="10">
        <f>'Março 2024'!F33</f>
        <v/>
      </c>
      <c r="J5" s="11">
        <f>'Março 2024'!E66</f>
        <v/>
      </c>
    </row>
    <row r="6">
      <c r="B6" s="5">
        <f>HYPERLINK("#'Abril 2024'!B1","Abril 2024")</f>
        <v/>
      </c>
      <c r="C6" s="6">
        <f>'Abril 2024'!C42</f>
        <v/>
      </c>
      <c r="D6" s="7">
        <f>'Abril 2024'!D42</f>
        <v/>
      </c>
      <c r="E6" s="8">
        <f>'Abril 2024'!E42</f>
        <v/>
      </c>
      <c r="F6" s="7">
        <f>'Abril 2024'!C37</f>
        <v/>
      </c>
      <c r="G6" s="8">
        <f>'Abril 2024'!K49</f>
        <v/>
      </c>
      <c r="H6" s="9">
        <f>'Abril 2024'!C33</f>
        <v/>
      </c>
      <c r="I6" s="10">
        <f>'Abril 2024'!F33</f>
        <v/>
      </c>
      <c r="J6" s="11">
        <f>'Abril 2024'!E66</f>
        <v/>
      </c>
    </row>
    <row r="7">
      <c r="B7" s="5">
        <f>HYPERLINK("#'Maio 2024'!B1","Maio 2024")</f>
        <v/>
      </c>
      <c r="C7" s="6">
        <f>'Maio 2024'!C42</f>
        <v/>
      </c>
      <c r="D7" s="7">
        <f>'Maio 2024'!D42</f>
        <v/>
      </c>
      <c r="E7" s="8">
        <f>'Maio 2024'!E42</f>
        <v/>
      </c>
      <c r="F7" s="7">
        <f>'Maio 2024'!C37</f>
        <v/>
      </c>
      <c r="G7" s="8">
        <f>'Maio 2024'!K49</f>
        <v/>
      </c>
      <c r="H7" s="9">
        <f>'Maio 2024'!C33</f>
        <v/>
      </c>
      <c r="I7" s="10">
        <f>'Maio 2024'!F33</f>
        <v/>
      </c>
      <c r="J7" s="11">
        <f>'Maio 2024'!E66</f>
        <v/>
      </c>
    </row>
    <row r="8">
      <c r="B8" s="5">
        <f>HYPERLINK("#'Junho 2024'!B1","Junho 2024")</f>
        <v/>
      </c>
      <c r="C8" s="6">
        <f>'Junho 2024'!C42</f>
        <v/>
      </c>
      <c r="D8" s="7">
        <f>'Junho 2024'!D42</f>
        <v/>
      </c>
      <c r="E8" s="8">
        <f>'Junho 2024'!E42</f>
        <v/>
      </c>
      <c r="F8" s="7">
        <f>'Junho 2024'!C37</f>
        <v/>
      </c>
      <c r="G8" s="8">
        <f>'Junho 2024'!K49</f>
        <v/>
      </c>
      <c r="H8" s="9">
        <f>'Junho 2024'!C33</f>
        <v/>
      </c>
      <c r="I8" s="10">
        <f>'Junho 2024'!F33</f>
        <v/>
      </c>
      <c r="J8" s="11">
        <f>'Junho 2024'!E66</f>
        <v/>
      </c>
    </row>
    <row r="9">
      <c r="B9" s="5">
        <f>HYPERLINK("#'Julho 2024'!B1","Julho 2024")</f>
        <v/>
      </c>
      <c r="C9" s="6">
        <f>'Julho 2024'!C42</f>
        <v/>
      </c>
      <c r="D9" s="7">
        <f>'Julho 2024'!D42</f>
        <v/>
      </c>
      <c r="E9" s="8">
        <f>'Julho 2024'!E42</f>
        <v/>
      </c>
      <c r="F9" s="7">
        <f>'Julho 2024'!C37</f>
        <v/>
      </c>
      <c r="G9" s="8">
        <f>'Julho 2024'!K49</f>
        <v/>
      </c>
      <c r="H9" s="9">
        <f>'Julho 2024'!C33</f>
        <v/>
      </c>
      <c r="I9" s="10">
        <f>'Julho 2024'!F33</f>
        <v/>
      </c>
      <c r="J9" s="11">
        <f>'Julho 2024'!E66</f>
        <v/>
      </c>
    </row>
    <row r="10">
      <c r="B10" s="5">
        <f>HYPERLINK("#'Agosto 2024'!B1","Agosto 2024")</f>
        <v/>
      </c>
      <c r="C10" s="6">
        <f>'Agosto 2024'!C42</f>
        <v/>
      </c>
      <c r="D10" s="7">
        <f>'Agosto 2024'!D42</f>
        <v/>
      </c>
      <c r="E10" s="8">
        <f>'Agosto 2024'!E42</f>
        <v/>
      </c>
      <c r="F10" s="7">
        <f>'Agosto 2024'!C37</f>
        <v/>
      </c>
      <c r="G10" s="8">
        <f>'Agosto 2024'!K49</f>
        <v/>
      </c>
      <c r="H10" s="9">
        <f>'Agosto 2024'!C33</f>
        <v/>
      </c>
      <c r="I10" s="10">
        <f>'Agosto 2024'!F33</f>
        <v/>
      </c>
      <c r="J10" s="11">
        <f>'Agosto 2024'!E66</f>
        <v/>
      </c>
    </row>
    <row r="11">
      <c r="B11" s="5">
        <f>HYPERLINK("#'Setembro 2024'!B1","Setembro 2024")</f>
        <v/>
      </c>
      <c r="C11" s="6">
        <f>'Setembro 2024'!C42</f>
        <v/>
      </c>
      <c r="D11" s="7">
        <f>'Setembro 2024'!D42</f>
        <v/>
      </c>
      <c r="E11" s="8">
        <f>'Setembro 2024'!E42</f>
        <v/>
      </c>
      <c r="F11" s="7">
        <f>'Setembro 2024'!C37</f>
        <v/>
      </c>
      <c r="G11" s="8">
        <f>'Setembro 2024'!K49</f>
        <v/>
      </c>
      <c r="H11" s="9">
        <f>'Setembro 2024'!C33</f>
        <v/>
      </c>
      <c r="I11" s="10">
        <f>'Setembro 2024'!F33</f>
        <v/>
      </c>
      <c r="J11" s="11">
        <f>'Setembro 2024'!E66</f>
        <v/>
      </c>
    </row>
    <row r="12">
      <c r="B12" s="5">
        <f>HYPERLINK("#'Outubro 2024'!B1","Outubro 2024")</f>
        <v/>
      </c>
      <c r="C12" s="6">
        <f>'Outubro 2024'!C42</f>
        <v/>
      </c>
      <c r="D12" s="7">
        <f>'Outubro 2024'!D42</f>
        <v/>
      </c>
      <c r="E12" s="8">
        <f>'Outubro 2024'!E42</f>
        <v/>
      </c>
      <c r="F12" s="7">
        <f>'Outubro 2024'!C37</f>
        <v/>
      </c>
      <c r="G12" s="8">
        <f>'Outubro 2024'!K49</f>
        <v/>
      </c>
      <c r="H12" s="9">
        <f>'Outubro 2024'!C33</f>
        <v/>
      </c>
      <c r="I12" s="10">
        <f>'Outubro 2024'!F33</f>
        <v/>
      </c>
      <c r="J12" s="11">
        <f>'Outubro 2024'!E66</f>
        <v/>
      </c>
    </row>
    <row r="13">
      <c r="B13" s="5">
        <f>HYPERLINK("#'Novembro 2024'!B1","Novembro 2024")</f>
        <v/>
      </c>
      <c r="C13" s="6">
        <f>'Novembro 2024'!C42</f>
        <v/>
      </c>
      <c r="D13" s="7">
        <f>'Novembro 2024'!D42</f>
        <v/>
      </c>
      <c r="E13" s="8">
        <f>'Novembro 2024'!E42</f>
        <v/>
      </c>
      <c r="F13" s="7">
        <f>'Novembro 2024'!C37</f>
        <v/>
      </c>
      <c r="G13" s="8">
        <f>'Novembro 2024'!K49</f>
        <v/>
      </c>
      <c r="H13" s="9">
        <f>'Novembro 2024'!C33</f>
        <v/>
      </c>
      <c r="I13" s="10">
        <f>'Novembro 2024'!F33</f>
        <v/>
      </c>
      <c r="J13" s="11">
        <f>'Novembro 2024'!E66</f>
        <v/>
      </c>
    </row>
    <row r="14">
      <c r="B14" s="5">
        <f>HYPERLINK("#'Dezembro 2024'!B1","Dezembro 2024")</f>
        <v/>
      </c>
      <c r="C14" s="6">
        <f>'Dezembro 2024'!C42</f>
        <v/>
      </c>
      <c r="D14" s="7">
        <f>'Dezembro 2024'!D42</f>
        <v/>
      </c>
      <c r="E14" s="8">
        <f>'Dezembro 2024'!E42</f>
        <v/>
      </c>
      <c r="F14" s="7">
        <f>'Dezembro 2024'!C37</f>
        <v/>
      </c>
      <c r="G14" s="8">
        <f>'Dezembro 2024'!K49</f>
        <v/>
      </c>
      <c r="H14" s="9">
        <f>'Dezembro 2024'!C33</f>
        <v/>
      </c>
      <c r="I14" s="10">
        <f>'Dezembro 2024'!F33</f>
        <v/>
      </c>
      <c r="J14" s="11">
        <f>'Dezembro 2024'!E66</f>
        <v/>
      </c>
    </row>
    <row r="15">
      <c r="B15" s="5">
        <f>HYPERLINK("#'Janeiro 2025'!B1","Janeiro 2025")</f>
        <v/>
      </c>
      <c r="C15" s="6">
        <f>'Janeiro 2025'!C42</f>
        <v/>
      </c>
      <c r="D15" s="7">
        <f>'Janeiro 2025'!D42</f>
        <v/>
      </c>
      <c r="E15" s="8">
        <f>'Janeiro 2025'!E42</f>
        <v/>
      </c>
      <c r="F15" s="7">
        <f>'Janeiro 2025'!C37</f>
        <v/>
      </c>
      <c r="G15" s="8">
        <f>'Janeiro 2025'!K49</f>
        <v/>
      </c>
      <c r="H15" s="9">
        <f>'Janeiro 2025'!C33</f>
        <v/>
      </c>
      <c r="I15" s="10">
        <f>'Janeiro 2025'!F33</f>
        <v/>
      </c>
      <c r="J15" s="11">
        <f>'Janeiro 2025'!E66</f>
        <v/>
      </c>
    </row>
    <row r="16">
      <c r="B16" s="5">
        <f>HYPERLINK("#'Fevereiro 2025'!B1","Fevereiro 2025")</f>
        <v/>
      </c>
      <c r="C16" s="6">
        <f>'Fevereiro 2025'!C42</f>
        <v/>
      </c>
      <c r="D16" s="7">
        <f>'Fevereiro 2025'!D42</f>
        <v/>
      </c>
      <c r="E16" s="8">
        <f>'Fevereiro 2025'!E42</f>
        <v/>
      </c>
      <c r="F16" s="7">
        <f>'Fevereiro 2025'!C37</f>
        <v/>
      </c>
      <c r="G16" s="8">
        <f>'Fevereiro 2025'!K49</f>
        <v/>
      </c>
      <c r="H16" s="9">
        <f>'Fevereiro 2025'!C33</f>
        <v/>
      </c>
      <c r="I16" s="10">
        <f>'Fevereiro 2025'!F33</f>
        <v/>
      </c>
      <c r="J16" s="11">
        <f>'Fevereiro 2025'!E66</f>
        <v/>
      </c>
    </row>
    <row r="17">
      <c r="B17" s="5">
        <f>HYPERLINK("#'Março 2025'!B1","Março 2025")</f>
        <v/>
      </c>
      <c r="C17" s="6">
        <f>'Março 2025'!C42</f>
        <v/>
      </c>
      <c r="D17" s="7">
        <f>'Março 2025'!D42</f>
        <v/>
      </c>
      <c r="E17" s="8">
        <f>'Março 2025'!E42</f>
        <v/>
      </c>
      <c r="F17" s="7">
        <f>'Março 2025'!C37</f>
        <v/>
      </c>
      <c r="G17" s="8">
        <f>'Março 2025'!K49</f>
        <v/>
      </c>
      <c r="H17" s="9">
        <f>'Março 2025'!C33</f>
        <v/>
      </c>
      <c r="I17" s="10">
        <f>'Março 2025'!F33</f>
        <v/>
      </c>
      <c r="J17" s="11">
        <f>'Março 2025'!E66</f>
        <v/>
      </c>
    </row>
    <row r="18">
      <c r="B18" s="5">
        <f>HYPERLINK("#'Abril 2025'!B1","Abril 2025")</f>
        <v/>
      </c>
      <c r="C18" s="6">
        <f>'Abril 2025'!C42</f>
        <v/>
      </c>
      <c r="D18" s="7">
        <f>'Abril 2025'!D42</f>
        <v/>
      </c>
      <c r="E18" s="8">
        <f>'Abril 2025'!E42</f>
        <v/>
      </c>
      <c r="F18" s="7">
        <f>'Abril 2025'!C37</f>
        <v/>
      </c>
      <c r="G18" s="8">
        <f>'Abril 2025'!K49</f>
        <v/>
      </c>
      <c r="H18" s="9">
        <f>'Abril 2025'!C33</f>
        <v/>
      </c>
      <c r="I18" s="10">
        <f>'Abril 2025'!F33</f>
        <v/>
      </c>
      <c r="J18" s="11">
        <f>'Abril 2025'!E66</f>
        <v/>
      </c>
    </row>
    <row r="19">
      <c r="B19" s="5">
        <f>HYPERLINK("#'Maio 2025'!B1","Maio 2025")</f>
        <v/>
      </c>
      <c r="C19" s="6">
        <f>'Maio 2025'!C42</f>
        <v/>
      </c>
      <c r="D19" s="7">
        <f>'Maio 2025'!D42</f>
        <v/>
      </c>
      <c r="E19" s="8">
        <f>'Maio 2025'!E42</f>
        <v/>
      </c>
      <c r="F19" s="7">
        <f>'Maio 2025'!C37</f>
        <v/>
      </c>
      <c r="G19" s="8">
        <f>'Maio 2025'!K49</f>
        <v/>
      </c>
      <c r="H19" s="9">
        <f>'Maio 2025'!C33</f>
        <v/>
      </c>
      <c r="I19" s="10">
        <f>'Maio 2025'!F33</f>
        <v/>
      </c>
      <c r="J19" s="11">
        <f>'Maio 2025'!E66</f>
        <v/>
      </c>
    </row>
    <row r="20">
      <c r="B20" s="5">
        <f>HYPERLINK("#'Junho 2025'!B1","Junho 2025")</f>
        <v/>
      </c>
      <c r="C20" s="6">
        <f>'Junho 2025'!C42</f>
        <v/>
      </c>
      <c r="D20" s="7">
        <f>'Junho 2025'!D42</f>
        <v/>
      </c>
      <c r="E20" s="8">
        <f>'Junho 2025'!E42</f>
        <v/>
      </c>
      <c r="F20" s="7">
        <f>'Junho 2025'!C37</f>
        <v/>
      </c>
      <c r="G20" s="8">
        <f>'Junho 2025'!K49</f>
        <v/>
      </c>
      <c r="H20" s="9">
        <f>'Junho 2025'!C33</f>
        <v/>
      </c>
      <c r="I20" s="10">
        <f>'Junho 2025'!F33</f>
        <v/>
      </c>
      <c r="J20" s="11">
        <f>'Junho 2025'!E66</f>
        <v/>
      </c>
    </row>
    <row r="21">
      <c r="B21" s="5">
        <f>HYPERLINK("#'Julho 2025'!B1","Julho 2025")</f>
        <v/>
      </c>
      <c r="C21" s="6">
        <f>'Julho 2025'!C42</f>
        <v/>
      </c>
      <c r="D21" s="7">
        <f>'Julho 2025'!D42</f>
        <v/>
      </c>
      <c r="E21" s="8">
        <f>'Julho 2025'!E42</f>
        <v/>
      </c>
      <c r="F21" s="7">
        <f>'Julho 2025'!C37</f>
        <v/>
      </c>
      <c r="G21" s="8">
        <f>'Julho 2025'!K49</f>
        <v/>
      </c>
      <c r="H21" s="9">
        <f>'Julho 2025'!C33</f>
        <v/>
      </c>
      <c r="I21" s="10">
        <f>'Julho 2025'!F33</f>
        <v/>
      </c>
      <c r="J21" s="11">
        <f>'Julho 2025'!E66</f>
        <v/>
      </c>
    </row>
    <row r="22">
      <c r="B22" s="5">
        <f>HYPERLINK("#'Agosto 2025'!B1","Agosto 2025")</f>
        <v/>
      </c>
      <c r="C22" s="6">
        <f>'Agosto 2025'!C42</f>
        <v/>
      </c>
      <c r="D22" s="7">
        <f>'Agosto 2025'!D42</f>
        <v/>
      </c>
      <c r="E22" s="8">
        <f>'Agosto 2025'!E42</f>
        <v/>
      </c>
      <c r="F22" s="7">
        <f>'Agosto 2025'!C37</f>
        <v/>
      </c>
      <c r="G22" s="8">
        <f>'Agosto 2025'!K49</f>
        <v/>
      </c>
      <c r="H22" s="9">
        <f>'Agosto 2025'!C33</f>
        <v/>
      </c>
      <c r="I22" s="10">
        <f>'Agosto 2025'!F33</f>
        <v/>
      </c>
      <c r="J22" s="11">
        <f>'Agosto 2025'!E66</f>
        <v/>
      </c>
    </row>
    <row r="23">
      <c r="B23" s="5">
        <f>HYPERLINK("#'Setembro 2025'!B1","Setembro 2025")</f>
        <v/>
      </c>
      <c r="C23" s="6">
        <f>'Setembro 2025'!C42</f>
        <v/>
      </c>
      <c r="D23" s="7">
        <f>'Setembro 2025'!D42</f>
        <v/>
      </c>
      <c r="E23" s="8">
        <f>'Setembro 2025'!E42</f>
        <v/>
      </c>
      <c r="F23" s="7">
        <f>'Setembro 2025'!C37</f>
        <v/>
      </c>
      <c r="G23" s="8">
        <f>'Setembro 2025'!K49</f>
        <v/>
      </c>
      <c r="H23" s="9">
        <f>'Setembro 2025'!C33</f>
        <v/>
      </c>
      <c r="I23" s="10">
        <f>'Setembro 2025'!F33</f>
        <v/>
      </c>
      <c r="J23" s="11">
        <f>'Setembro 2025'!E66</f>
        <v/>
      </c>
    </row>
    <row r="24">
      <c r="B24" s="5">
        <f>HYPERLINK("#'Outubro 2025'!B1","Outubro 2025")</f>
        <v/>
      </c>
      <c r="C24" s="6">
        <f>'Outubro 2025'!C42</f>
        <v/>
      </c>
      <c r="D24" s="7">
        <f>'Outubro 2025'!D42</f>
        <v/>
      </c>
      <c r="E24" s="8">
        <f>'Outubro 2025'!E42</f>
        <v/>
      </c>
      <c r="F24" s="7">
        <f>'Outubro 2025'!C37</f>
        <v/>
      </c>
      <c r="G24" s="8">
        <f>'Outubro 2025'!K49</f>
        <v/>
      </c>
      <c r="H24" s="9">
        <f>'Outubro 2025'!C33</f>
        <v/>
      </c>
      <c r="I24" s="10">
        <f>'Outubro 2025'!F33</f>
        <v/>
      </c>
      <c r="J24" s="11">
        <f>'Outubro 2025'!E66</f>
        <v/>
      </c>
    </row>
    <row r="25">
      <c r="B25" s="5">
        <f>HYPERLINK("#'Novembro 2025'!B1","Novembro 2025")</f>
        <v/>
      </c>
      <c r="C25" s="6">
        <f>'Novembro 2025'!C42</f>
        <v/>
      </c>
      <c r="D25" s="7">
        <f>'Novembro 2025'!D42</f>
        <v/>
      </c>
      <c r="E25" s="8">
        <f>'Novembro 2025'!E42</f>
        <v/>
      </c>
      <c r="F25" s="7">
        <f>'Novembro 2025'!C37</f>
        <v/>
      </c>
      <c r="G25" s="8">
        <f>'Novembro 2025'!K49</f>
        <v/>
      </c>
      <c r="H25" s="9">
        <f>'Novembro 2025'!C33</f>
        <v/>
      </c>
      <c r="I25" s="10">
        <f>'Novembro 2025'!F33</f>
        <v/>
      </c>
      <c r="J25" s="11">
        <f>'Novembro 2025'!E66</f>
        <v/>
      </c>
    </row>
    <row r="26">
      <c r="B26" s="5">
        <f>HYPERLINK("#'Dezembro 2025'!B1","Dezembro 2025")</f>
        <v/>
      </c>
      <c r="C26" s="6">
        <f>'Dezembro 2025'!C42</f>
        <v/>
      </c>
      <c r="D26" s="7">
        <f>'Dezembro 2025'!D42</f>
        <v/>
      </c>
      <c r="E26" s="8">
        <f>'Dezembro 2025'!E42</f>
        <v/>
      </c>
      <c r="F26" s="7">
        <f>'Dezembro 2025'!C37</f>
        <v/>
      </c>
      <c r="G26" s="8">
        <f>'Dezembro 2025'!K49</f>
        <v/>
      </c>
      <c r="H26" s="9">
        <f>'Dezembro 2025'!C33</f>
        <v/>
      </c>
      <c r="I26" s="10">
        <f>'Dezembro 2025'!F33</f>
        <v/>
      </c>
      <c r="J26" s="11">
        <f>'Dezembro 2025'!E66</f>
        <v/>
      </c>
    </row>
    <row r="27">
      <c r="B27" s="5">
        <f>HYPERLINK("#'Janeiro 2026'!B1","Janeiro 2026")</f>
        <v/>
      </c>
      <c r="C27" s="6">
        <f>'Janeiro 2026'!C42</f>
        <v/>
      </c>
      <c r="D27" s="7">
        <f>'Janeiro 2026'!D42</f>
        <v/>
      </c>
      <c r="E27" s="8">
        <f>'Janeiro 2026'!E42</f>
        <v/>
      </c>
      <c r="F27" s="7">
        <f>'Janeiro 2026'!C37</f>
        <v/>
      </c>
      <c r="G27" s="8">
        <f>'Janeiro 2026'!K49</f>
        <v/>
      </c>
      <c r="H27" s="9">
        <f>'Janeiro 2026'!C33</f>
        <v/>
      </c>
      <c r="I27" s="10">
        <f>'Janeiro 2026'!F33</f>
        <v/>
      </c>
      <c r="J27" s="11">
        <f>'Janeiro 2026'!E66</f>
        <v/>
      </c>
    </row>
    <row r="28">
      <c r="B28" s="5">
        <f>HYPERLINK("#'Fevereiro 2026'!B1","Fevereiro 2026")</f>
        <v/>
      </c>
      <c r="C28" s="6">
        <f>'Fevereiro 2026'!C42</f>
        <v/>
      </c>
      <c r="D28" s="7">
        <f>'Fevereiro 2026'!D42</f>
        <v/>
      </c>
      <c r="E28" s="8">
        <f>'Fevereiro 2026'!E42</f>
        <v/>
      </c>
      <c r="F28" s="7">
        <f>'Fevereiro 2026'!C37</f>
        <v/>
      </c>
      <c r="G28" s="8">
        <f>'Fevereiro 2026'!K49</f>
        <v/>
      </c>
      <c r="H28" s="9">
        <f>'Fevereiro 2026'!C33</f>
        <v/>
      </c>
      <c r="I28" s="10">
        <f>'Fevereiro 2026'!F33</f>
        <v/>
      </c>
      <c r="J28" s="11">
        <f>'Fevereiro 2026'!E66</f>
        <v/>
      </c>
    </row>
    <row r="29">
      <c r="B29" s="5">
        <f>HYPERLINK("#'Março 2026'!B1","Março 2026")</f>
        <v/>
      </c>
      <c r="C29" s="6">
        <f>'Março 2026'!C42</f>
        <v/>
      </c>
      <c r="D29" s="7">
        <f>'Março 2026'!D42</f>
        <v/>
      </c>
      <c r="E29" s="8">
        <f>'Março 2026'!E42</f>
        <v/>
      </c>
      <c r="F29" s="7">
        <f>'Março 2026'!C37</f>
        <v/>
      </c>
      <c r="G29" s="8">
        <f>'Março 2026'!K49</f>
        <v/>
      </c>
      <c r="H29" s="9">
        <f>'Março 2026'!C33</f>
        <v/>
      </c>
      <c r="I29" s="10">
        <f>'Março 2026'!F33</f>
        <v/>
      </c>
      <c r="J29" s="11">
        <f>'Março 2026'!E66</f>
        <v/>
      </c>
    </row>
    <row r="30">
      <c r="B30" s="5">
        <f>HYPERLINK("#'Abril 2026'!B1","Abril 2026")</f>
        <v/>
      </c>
      <c r="C30" s="6">
        <f>'Abril 2026'!C42</f>
        <v/>
      </c>
      <c r="D30" s="7">
        <f>'Abril 2026'!D42</f>
        <v/>
      </c>
      <c r="E30" s="8">
        <f>'Abril 2026'!E42</f>
        <v/>
      </c>
      <c r="F30" s="7">
        <f>'Abril 2026'!C37</f>
        <v/>
      </c>
      <c r="G30" s="8">
        <f>'Abril 2026'!K49</f>
        <v/>
      </c>
      <c r="H30" s="9">
        <f>'Abril 2026'!C33</f>
        <v/>
      </c>
      <c r="I30" s="10">
        <f>'Abril 2026'!F33</f>
        <v/>
      </c>
      <c r="J30" s="11">
        <f>'Abril 2026'!E66</f>
        <v/>
      </c>
    </row>
    <row r="31">
      <c r="B31" s="5">
        <f>HYPERLINK("#'Maio 2026'!B1","Maio 2026")</f>
        <v/>
      </c>
      <c r="C31" s="6">
        <f>'Maio 2026'!C42</f>
        <v/>
      </c>
      <c r="D31" s="7">
        <f>'Maio 2026'!D42</f>
        <v/>
      </c>
      <c r="E31" s="8">
        <f>'Maio 2026'!E42</f>
        <v/>
      </c>
      <c r="F31" s="7">
        <f>'Maio 2026'!C37</f>
        <v/>
      </c>
      <c r="G31" s="8">
        <f>'Maio 2026'!K49</f>
        <v/>
      </c>
      <c r="H31" s="9">
        <f>'Maio 2026'!C33</f>
        <v/>
      </c>
      <c r="I31" s="10">
        <f>'Maio 2026'!F33</f>
        <v/>
      </c>
      <c r="J31" s="11">
        <f>'Maio 2026'!E66</f>
        <v/>
      </c>
    </row>
    <row r="32">
      <c r="B32" s="5">
        <f>HYPERLINK("#'Junho 2026'!B1","Junho 2026")</f>
        <v/>
      </c>
      <c r="C32" s="6">
        <f>'Junho 2026'!C42</f>
        <v/>
      </c>
      <c r="D32" s="7">
        <f>'Junho 2026'!D42</f>
        <v/>
      </c>
      <c r="E32" s="8">
        <f>'Junho 2026'!E42</f>
        <v/>
      </c>
      <c r="F32" s="7">
        <f>'Junho 2026'!C37</f>
        <v/>
      </c>
      <c r="G32" s="8">
        <f>'Junho 2026'!K49</f>
        <v/>
      </c>
      <c r="H32" s="9">
        <f>'Junho 2026'!C33</f>
        <v/>
      </c>
      <c r="I32" s="10">
        <f>'Junho 2026'!F33</f>
        <v/>
      </c>
      <c r="J32" s="11">
        <f>'Junho 2026'!E66</f>
        <v/>
      </c>
    </row>
    <row r="33">
      <c r="B33" s="5">
        <f>HYPERLINK("#'Julho 2026'!B1","Julho 2026")</f>
        <v/>
      </c>
      <c r="C33" s="6">
        <f>'Julho 2026'!C42</f>
        <v/>
      </c>
      <c r="D33" s="7">
        <f>'Julho 2026'!D42</f>
        <v/>
      </c>
      <c r="E33" s="8">
        <f>'Julho 2026'!E42</f>
        <v/>
      </c>
      <c r="F33" s="7">
        <f>'Julho 2026'!C37</f>
        <v/>
      </c>
      <c r="G33" s="8">
        <f>'Julho 2026'!K49</f>
        <v/>
      </c>
      <c r="H33" s="9">
        <f>'Julho 2026'!C33</f>
        <v/>
      </c>
      <c r="I33" s="10">
        <f>'Julho 2026'!F33</f>
        <v/>
      </c>
      <c r="J33" s="11">
        <f>'Julho 2026'!E66</f>
        <v/>
      </c>
    </row>
    <row r="34">
      <c r="B34" s="5">
        <f>HYPERLINK("#'Agosto 2026'!B1","Agosto 2026")</f>
        <v/>
      </c>
      <c r="C34" s="6">
        <f>'Agosto 2026'!C42</f>
        <v/>
      </c>
      <c r="D34" s="7">
        <f>'Agosto 2026'!D42</f>
        <v/>
      </c>
      <c r="E34" s="8">
        <f>'Agosto 2026'!E42</f>
        <v/>
      </c>
      <c r="F34" s="7">
        <f>'Agosto 2026'!C37</f>
        <v/>
      </c>
      <c r="G34" s="8">
        <f>'Agosto 2026'!K49</f>
        <v/>
      </c>
      <c r="H34" s="9">
        <f>'Agosto 2026'!C33</f>
        <v/>
      </c>
      <c r="I34" s="10">
        <f>'Agosto 2026'!F33</f>
        <v/>
      </c>
      <c r="J34" s="11">
        <f>'Agosto 2026'!E66</f>
        <v/>
      </c>
    </row>
    <row r="35">
      <c r="B35" s="5">
        <f>HYPERLINK("#'Setembro 2026'!B1","Setembro 2026")</f>
        <v/>
      </c>
      <c r="C35" s="6">
        <f>'Setembro 2026'!C42</f>
        <v/>
      </c>
      <c r="D35" s="7">
        <f>'Setembro 2026'!D42</f>
        <v/>
      </c>
      <c r="E35" s="8">
        <f>'Setembro 2026'!E42</f>
        <v/>
      </c>
      <c r="F35" s="7">
        <f>'Setembro 2026'!C37</f>
        <v/>
      </c>
      <c r="G35" s="8">
        <f>'Setembro 2026'!K49</f>
        <v/>
      </c>
      <c r="H35" s="9">
        <f>'Setembro 2026'!C33</f>
        <v/>
      </c>
      <c r="I35" s="10">
        <f>'Setembro 2026'!F33</f>
        <v/>
      </c>
      <c r="J35" s="11">
        <f>'Setembro 2026'!E66</f>
        <v/>
      </c>
    </row>
    <row r="36">
      <c r="B36" s="5">
        <f>HYPERLINK("#'Outubro 2026'!B1","Outubro 2026")</f>
        <v/>
      </c>
      <c r="C36" s="6">
        <f>'Outubro 2026'!C42</f>
        <v/>
      </c>
      <c r="D36" s="7">
        <f>'Outubro 2026'!D42</f>
        <v/>
      </c>
      <c r="E36" s="8">
        <f>'Outubro 2026'!E42</f>
        <v/>
      </c>
      <c r="F36" s="7">
        <f>'Outubro 2026'!C37</f>
        <v/>
      </c>
      <c r="G36" s="8">
        <f>'Outubro 2026'!K49</f>
        <v/>
      </c>
      <c r="H36" s="9">
        <f>'Outubro 2026'!C33</f>
        <v/>
      </c>
      <c r="I36" s="10">
        <f>'Outubro 2026'!F33</f>
        <v/>
      </c>
      <c r="J36" s="11">
        <f>'Outubro 2026'!E66</f>
        <v/>
      </c>
    </row>
    <row r="37">
      <c r="B37" s="5">
        <f>HYPERLINK("#'Novembro 2026'!B1","Novembro 2026")</f>
        <v/>
      </c>
      <c r="C37" s="6">
        <f>'Novembro 2026'!C42</f>
        <v/>
      </c>
      <c r="D37" s="7">
        <f>'Novembro 2026'!D42</f>
        <v/>
      </c>
      <c r="E37" s="8">
        <f>'Novembro 2026'!E42</f>
        <v/>
      </c>
      <c r="F37" s="7">
        <f>'Novembro 2026'!C37</f>
        <v/>
      </c>
      <c r="G37" s="8">
        <f>'Novembro 2026'!K49</f>
        <v/>
      </c>
      <c r="H37" s="9">
        <f>'Novembro 2026'!C33</f>
        <v/>
      </c>
      <c r="I37" s="10">
        <f>'Novembro 2026'!F33</f>
        <v/>
      </c>
      <c r="J37" s="11">
        <f>'Novembro 2026'!E66</f>
        <v/>
      </c>
    </row>
    <row r="38">
      <c r="B38" s="5">
        <f>HYPERLINK("#'Dezembro 2026'!B1","Dezembro 2026")</f>
        <v/>
      </c>
      <c r="C38" s="6">
        <f>'Dezembro 2026'!C42</f>
        <v/>
      </c>
      <c r="D38" s="7">
        <f>'Dezembro 2026'!D42</f>
        <v/>
      </c>
      <c r="E38" s="8">
        <f>'Dezembro 2026'!E42</f>
        <v/>
      </c>
      <c r="F38" s="7">
        <f>'Dezembro 2026'!C37</f>
        <v/>
      </c>
      <c r="G38" s="8">
        <f>'Dezembro 2026'!K49</f>
        <v/>
      </c>
      <c r="H38" s="9">
        <f>'Dezembro 2026'!C33</f>
        <v/>
      </c>
      <c r="I38" s="10">
        <f>'Dezembro 2026'!F33</f>
        <v/>
      </c>
      <c r="J38" s="11">
        <f>'Dezembro 2026'!E66</f>
        <v/>
      </c>
    </row>
    <row r="39">
      <c r="B39" s="5">
        <f>HYPERLINK("#'Janeiro 2027'!B1","Janeiro 2027")</f>
        <v/>
      </c>
      <c r="C39" s="6">
        <f>'Janeiro 2027'!C42</f>
        <v/>
      </c>
      <c r="D39" s="7">
        <f>'Janeiro 2027'!D42</f>
        <v/>
      </c>
      <c r="E39" s="8">
        <f>'Janeiro 2027'!E42</f>
        <v/>
      </c>
      <c r="F39" s="7">
        <f>'Janeiro 2027'!C37</f>
        <v/>
      </c>
      <c r="G39" s="8">
        <f>'Janeiro 2027'!K49</f>
        <v/>
      </c>
      <c r="H39" s="9">
        <f>'Janeiro 2027'!C33</f>
        <v/>
      </c>
      <c r="I39" s="10">
        <f>'Janeiro 2027'!F33</f>
        <v/>
      </c>
      <c r="J39" s="11">
        <f>'Janeiro 2027'!E66</f>
        <v/>
      </c>
    </row>
    <row r="40">
      <c r="B40" s="5">
        <f>HYPERLINK("#'Fevereiro 2027'!B1","Fevereiro 2027")</f>
        <v/>
      </c>
      <c r="C40" s="6">
        <f>'Fevereiro 2027'!C42</f>
        <v/>
      </c>
      <c r="D40" s="7">
        <f>'Fevereiro 2027'!D42</f>
        <v/>
      </c>
      <c r="E40" s="8">
        <f>'Fevereiro 2027'!E42</f>
        <v/>
      </c>
      <c r="F40" s="7">
        <f>'Fevereiro 2027'!C37</f>
        <v/>
      </c>
      <c r="G40" s="8">
        <f>'Fevereiro 2027'!K49</f>
        <v/>
      </c>
      <c r="H40" s="9">
        <f>'Fevereiro 2027'!C33</f>
        <v/>
      </c>
      <c r="I40" s="10">
        <f>'Fevereiro 2027'!F33</f>
        <v/>
      </c>
      <c r="J40" s="11">
        <f>'Fevereiro 2027'!E66</f>
        <v/>
      </c>
    </row>
    <row r="41">
      <c r="B41" s="5">
        <f>HYPERLINK("#'Março 2027'!B1","Março 2027")</f>
        <v/>
      </c>
      <c r="C41" s="6">
        <f>'Março 2027'!C42</f>
        <v/>
      </c>
      <c r="D41" s="7">
        <f>'Março 2027'!D42</f>
        <v/>
      </c>
      <c r="E41" s="8">
        <f>'Março 2027'!E42</f>
        <v/>
      </c>
      <c r="F41" s="7">
        <f>'Março 2027'!C37</f>
        <v/>
      </c>
      <c r="G41" s="8">
        <f>'Março 2027'!K49</f>
        <v/>
      </c>
      <c r="H41" s="9">
        <f>'Março 2027'!C33</f>
        <v/>
      </c>
      <c r="I41" s="10">
        <f>'Março 2027'!F33</f>
        <v/>
      </c>
      <c r="J41" s="11">
        <f>'Março 2027'!E66</f>
        <v/>
      </c>
    </row>
    <row r="42">
      <c r="B42" s="5">
        <f>HYPERLINK("#'Abril 2027'!B1","Abril 2027")</f>
        <v/>
      </c>
      <c r="C42" s="6">
        <f>'Abril 2027'!C42</f>
        <v/>
      </c>
      <c r="D42" s="7">
        <f>'Abril 2027'!D42</f>
        <v/>
      </c>
      <c r="E42" s="8">
        <f>'Abril 2027'!E42</f>
        <v/>
      </c>
      <c r="F42" s="7">
        <f>'Abril 2027'!C37</f>
        <v/>
      </c>
      <c r="G42" s="8">
        <f>'Abril 2027'!K49</f>
        <v/>
      </c>
      <c r="H42" s="9">
        <f>'Abril 2027'!C33</f>
        <v/>
      </c>
      <c r="I42" s="10">
        <f>'Abril 2027'!F33</f>
        <v/>
      </c>
      <c r="J42" s="11">
        <f>'Abril 2027'!E66</f>
        <v/>
      </c>
    </row>
    <row r="43">
      <c r="B43" s="5">
        <f>HYPERLINK("#'Maio 2027'!B1","Maio 2027")</f>
        <v/>
      </c>
      <c r="C43" s="6">
        <f>'Maio 2027'!C42</f>
        <v/>
      </c>
      <c r="D43" s="7">
        <f>'Maio 2027'!D42</f>
        <v/>
      </c>
      <c r="E43" s="8">
        <f>'Maio 2027'!E42</f>
        <v/>
      </c>
      <c r="F43" s="7">
        <f>'Maio 2027'!C37</f>
        <v/>
      </c>
      <c r="G43" s="8">
        <f>'Maio 2027'!K49</f>
        <v/>
      </c>
      <c r="H43" s="9">
        <f>'Maio 2027'!C33</f>
        <v/>
      </c>
      <c r="I43" s="10">
        <f>'Maio 2027'!F33</f>
        <v/>
      </c>
      <c r="J43" s="11">
        <f>'Maio 2027'!E66</f>
        <v/>
      </c>
    </row>
    <row r="44">
      <c r="B44" s="5">
        <f>HYPERLINK("#'Junho 2027'!B1","Junho 2027")</f>
        <v/>
      </c>
      <c r="C44" s="6">
        <f>'Junho 2027'!C42</f>
        <v/>
      </c>
      <c r="D44" s="7">
        <f>'Junho 2027'!D42</f>
        <v/>
      </c>
      <c r="E44" s="8">
        <f>'Junho 2027'!E42</f>
        <v/>
      </c>
      <c r="F44" s="7">
        <f>'Junho 2027'!C37</f>
        <v/>
      </c>
      <c r="G44" s="8">
        <f>'Junho 2027'!K49</f>
        <v/>
      </c>
      <c r="H44" s="9">
        <f>'Junho 2027'!C33</f>
        <v/>
      </c>
      <c r="I44" s="10">
        <f>'Junho 2027'!F33</f>
        <v/>
      </c>
      <c r="J44" s="11">
        <f>'Junho 2027'!E66</f>
        <v/>
      </c>
    </row>
    <row r="45">
      <c r="B45" s="5">
        <f>HYPERLINK("#'Julho 2027'!B1","Julho 2027")</f>
        <v/>
      </c>
      <c r="C45" s="6">
        <f>'Julho 2027'!C42</f>
        <v/>
      </c>
      <c r="D45" s="7">
        <f>'Julho 2027'!D42</f>
        <v/>
      </c>
      <c r="E45" s="8">
        <f>'Julho 2027'!E42</f>
        <v/>
      </c>
      <c r="F45" s="7">
        <f>'Julho 2027'!C37</f>
        <v/>
      </c>
      <c r="G45" s="8">
        <f>'Julho 2027'!K49</f>
        <v/>
      </c>
      <c r="H45" s="9">
        <f>'Julho 2027'!C33</f>
        <v/>
      </c>
      <c r="I45" s="10">
        <f>'Julho 2027'!F33</f>
        <v/>
      </c>
      <c r="J45" s="11">
        <f>'Julho 2027'!E66</f>
        <v/>
      </c>
    </row>
    <row r="46">
      <c r="B46" s="5">
        <f>HYPERLINK("#'Agosto 2027'!B1","Agosto 2027")</f>
        <v/>
      </c>
      <c r="C46" s="6">
        <f>'Agosto 2027'!C42</f>
        <v/>
      </c>
      <c r="D46" s="7">
        <f>'Agosto 2027'!D42</f>
        <v/>
      </c>
      <c r="E46" s="8">
        <f>'Agosto 2027'!E42</f>
        <v/>
      </c>
      <c r="F46" s="7">
        <f>'Agosto 2027'!C37</f>
        <v/>
      </c>
      <c r="G46" s="8">
        <f>'Agosto 2027'!K49</f>
        <v/>
      </c>
      <c r="H46" s="9">
        <f>'Agosto 2027'!C33</f>
        <v/>
      </c>
      <c r="I46" s="10">
        <f>'Agosto 2027'!F33</f>
        <v/>
      </c>
      <c r="J46" s="11">
        <f>'Agosto 2027'!E66</f>
        <v/>
      </c>
    </row>
    <row r="47">
      <c r="B47" s="5">
        <f>HYPERLINK("#'Setembro 2027'!B1","Setembro 2027")</f>
        <v/>
      </c>
      <c r="C47" s="6">
        <f>'Setembro 2027'!C42</f>
        <v/>
      </c>
      <c r="D47" s="7">
        <f>'Setembro 2027'!D42</f>
        <v/>
      </c>
      <c r="E47" s="8">
        <f>'Setembro 2027'!E42</f>
        <v/>
      </c>
      <c r="F47" s="7">
        <f>'Setembro 2027'!C37</f>
        <v/>
      </c>
      <c r="G47" s="8">
        <f>'Setembro 2027'!K49</f>
        <v/>
      </c>
      <c r="H47" s="9">
        <f>'Setembro 2027'!C33</f>
        <v/>
      </c>
      <c r="I47" s="10">
        <f>'Setembro 2027'!F33</f>
        <v/>
      </c>
      <c r="J47" s="11">
        <f>'Setembro 2027'!E66</f>
        <v/>
      </c>
    </row>
    <row r="48">
      <c r="B48" s="5">
        <f>HYPERLINK("#'Outubro 2027'!B1","Outubro 2027")</f>
        <v/>
      </c>
      <c r="C48" s="6">
        <f>'Outubro 2027'!C42</f>
        <v/>
      </c>
      <c r="D48" s="7">
        <f>'Outubro 2027'!D42</f>
        <v/>
      </c>
      <c r="E48" s="8">
        <f>'Outubro 2027'!E42</f>
        <v/>
      </c>
      <c r="F48" s="7">
        <f>'Outubro 2027'!C37</f>
        <v/>
      </c>
      <c r="G48" s="8">
        <f>'Outubro 2027'!K49</f>
        <v/>
      </c>
      <c r="H48" s="9">
        <f>'Outubro 2027'!C33</f>
        <v/>
      </c>
      <c r="I48" s="10">
        <f>'Outubro 2027'!F33</f>
        <v/>
      </c>
      <c r="J48" s="11">
        <f>'Outubro 2027'!E66</f>
        <v/>
      </c>
    </row>
    <row r="49">
      <c r="B49" s="5">
        <f>HYPERLINK("#'Novembro 2027'!B1","Novembro 2027")</f>
        <v/>
      </c>
      <c r="C49" s="6">
        <f>'Novembro 2027'!C42</f>
        <v/>
      </c>
      <c r="D49" s="7">
        <f>'Novembro 2027'!D42</f>
        <v/>
      </c>
      <c r="E49" s="8">
        <f>'Novembro 2027'!E42</f>
        <v/>
      </c>
      <c r="F49" s="7">
        <f>'Novembro 2027'!C37</f>
        <v/>
      </c>
      <c r="G49" s="8">
        <f>'Novembro 2027'!K49</f>
        <v/>
      </c>
      <c r="H49" s="9">
        <f>'Novembro 2027'!C33</f>
        <v/>
      </c>
      <c r="I49" s="10">
        <f>'Novembro 2027'!F33</f>
        <v/>
      </c>
      <c r="J49" s="11">
        <f>'Novembro 2027'!E66</f>
        <v/>
      </c>
    </row>
    <row r="50">
      <c r="B50" s="5">
        <f>HYPERLINK("#'Dezembro 2027'!B1","Dezembro 2027")</f>
        <v/>
      </c>
      <c r="C50" s="6">
        <f>'Dezembro 2027'!C42</f>
        <v/>
      </c>
      <c r="D50" s="7">
        <f>'Dezembro 2027'!D42</f>
        <v/>
      </c>
      <c r="E50" s="8">
        <f>'Dezembro 2027'!E42</f>
        <v/>
      </c>
      <c r="F50" s="7">
        <f>'Dezembro 2027'!C37</f>
        <v/>
      </c>
      <c r="G50" s="8">
        <f>'Dezembro 2027'!K49</f>
        <v/>
      </c>
      <c r="H50" s="9">
        <f>'Dezembro 2027'!C33</f>
        <v/>
      </c>
      <c r="I50" s="10">
        <f>'Dezembro 2027'!F33</f>
        <v/>
      </c>
      <c r="J50" s="11">
        <f>'Dezembro 2027'!E66</f>
        <v/>
      </c>
    </row>
    <row r="51">
      <c r="B51" s="5">
        <f>HYPERLINK("#'Janeiro 2028'!B1","Janeiro 2028")</f>
        <v/>
      </c>
      <c r="C51" s="6">
        <f>'Janeiro 2028'!C42</f>
        <v/>
      </c>
      <c r="D51" s="7">
        <f>'Janeiro 2028'!D42</f>
        <v/>
      </c>
      <c r="E51" s="8">
        <f>'Janeiro 2028'!E42</f>
        <v/>
      </c>
      <c r="F51" s="7">
        <f>'Janeiro 2028'!C37</f>
        <v/>
      </c>
      <c r="G51" s="8">
        <f>'Janeiro 2028'!K49</f>
        <v/>
      </c>
      <c r="H51" s="9">
        <f>'Janeiro 2028'!C33</f>
        <v/>
      </c>
      <c r="I51" s="10">
        <f>'Janeiro 2028'!F33</f>
        <v/>
      </c>
      <c r="J51" s="11">
        <f>'Janeiro 2028'!E66</f>
        <v/>
      </c>
    </row>
    <row r="52">
      <c r="B52" s="5">
        <f>HYPERLINK("#'Fevereiro 2028'!B1","Fevereiro 2028")</f>
        <v/>
      </c>
      <c r="C52" s="6">
        <f>'Fevereiro 2028'!C42</f>
        <v/>
      </c>
      <c r="D52" s="7">
        <f>'Fevereiro 2028'!D42</f>
        <v/>
      </c>
      <c r="E52" s="8">
        <f>'Fevereiro 2028'!E42</f>
        <v/>
      </c>
      <c r="F52" s="7">
        <f>'Fevereiro 2028'!C37</f>
        <v/>
      </c>
      <c r="G52" s="8">
        <f>'Fevereiro 2028'!K49</f>
        <v/>
      </c>
      <c r="H52" s="9">
        <f>'Fevereiro 2028'!C33</f>
        <v/>
      </c>
      <c r="I52" s="10">
        <f>'Fevereiro 2028'!F33</f>
        <v/>
      </c>
      <c r="J52" s="11">
        <f>'Fevereiro 2028'!E66</f>
        <v/>
      </c>
    </row>
    <row r="53">
      <c r="B53" s="5">
        <f>HYPERLINK("#'Março 2028'!B1","Março 2028")</f>
        <v/>
      </c>
      <c r="C53" s="6">
        <f>'Março 2028'!C42</f>
        <v/>
      </c>
      <c r="D53" s="7">
        <f>'Março 2028'!D42</f>
        <v/>
      </c>
      <c r="E53" s="8">
        <f>'Março 2028'!E42</f>
        <v/>
      </c>
      <c r="F53" s="7">
        <f>'Março 2028'!C37</f>
        <v/>
      </c>
      <c r="G53" s="8">
        <f>'Março 2028'!K49</f>
        <v/>
      </c>
      <c r="H53" s="9">
        <f>'Março 2028'!C33</f>
        <v/>
      </c>
      <c r="I53" s="10">
        <f>'Março 2028'!F33</f>
        <v/>
      </c>
      <c r="J53" s="11">
        <f>'Março 2028'!E66</f>
        <v/>
      </c>
    </row>
    <row r="54">
      <c r="B54" s="5">
        <f>HYPERLINK("#'Abril 2028'!B1","Abril 2028")</f>
        <v/>
      </c>
      <c r="C54" s="6">
        <f>'Abril 2028'!C42</f>
        <v/>
      </c>
      <c r="D54" s="7">
        <f>'Abril 2028'!D42</f>
        <v/>
      </c>
      <c r="E54" s="8">
        <f>'Abril 2028'!E42</f>
        <v/>
      </c>
      <c r="F54" s="7">
        <f>'Abril 2028'!C37</f>
        <v/>
      </c>
      <c r="G54" s="8">
        <f>'Abril 2028'!K49</f>
        <v/>
      </c>
      <c r="H54" s="9">
        <f>'Abril 2028'!C33</f>
        <v/>
      </c>
      <c r="I54" s="10">
        <f>'Abril 2028'!F33</f>
        <v/>
      </c>
      <c r="J54" s="11">
        <f>'Abril 2028'!E66</f>
        <v/>
      </c>
    </row>
    <row r="55">
      <c r="B55" s="5">
        <f>HYPERLINK("#'Maio 2028'!B1","Maio 2028")</f>
        <v/>
      </c>
      <c r="C55" s="6">
        <f>'Maio 2028'!C42</f>
        <v/>
      </c>
      <c r="D55" s="7">
        <f>'Maio 2028'!D42</f>
        <v/>
      </c>
      <c r="E55" s="8">
        <f>'Maio 2028'!E42</f>
        <v/>
      </c>
      <c r="F55" s="7">
        <f>'Maio 2028'!C37</f>
        <v/>
      </c>
      <c r="G55" s="8">
        <f>'Maio 2028'!K49</f>
        <v/>
      </c>
      <c r="H55" s="9">
        <f>'Maio 2028'!C33</f>
        <v/>
      </c>
      <c r="I55" s="10">
        <f>'Maio 2028'!F33</f>
        <v/>
      </c>
      <c r="J55" s="11">
        <f>'Maio 2028'!E66</f>
        <v/>
      </c>
    </row>
    <row r="56">
      <c r="B56" s="5">
        <f>HYPERLINK("#'Junho 2028'!B1","Junho 2028")</f>
        <v/>
      </c>
      <c r="C56" s="6">
        <f>'Junho 2028'!C42</f>
        <v/>
      </c>
      <c r="D56" s="7">
        <f>'Junho 2028'!D42</f>
        <v/>
      </c>
      <c r="E56" s="8">
        <f>'Junho 2028'!E42</f>
        <v/>
      </c>
      <c r="F56" s="7">
        <f>'Junho 2028'!C37</f>
        <v/>
      </c>
      <c r="G56" s="8">
        <f>'Junho 2028'!K49</f>
        <v/>
      </c>
      <c r="H56" s="9">
        <f>'Junho 2028'!C33</f>
        <v/>
      </c>
      <c r="I56" s="10">
        <f>'Junho 2028'!F33</f>
        <v/>
      </c>
      <c r="J56" s="11">
        <f>'Junho 2028'!E66</f>
        <v/>
      </c>
    </row>
    <row r="57">
      <c r="B57" s="5">
        <f>HYPERLINK("#'Julho 2028'!B1","Julho 2028")</f>
        <v/>
      </c>
      <c r="C57" s="6">
        <f>'Julho 2028'!C42</f>
        <v/>
      </c>
      <c r="D57" s="7">
        <f>'Julho 2028'!D42</f>
        <v/>
      </c>
      <c r="E57" s="8">
        <f>'Julho 2028'!E42</f>
        <v/>
      </c>
      <c r="F57" s="7">
        <f>'Julho 2028'!C37</f>
        <v/>
      </c>
      <c r="G57" s="8">
        <f>'Julho 2028'!K49</f>
        <v/>
      </c>
      <c r="H57" s="9">
        <f>'Julho 2028'!C33</f>
        <v/>
      </c>
      <c r="I57" s="10">
        <f>'Julho 2028'!F33</f>
        <v/>
      </c>
      <c r="J57" s="11">
        <f>'Julho 2028'!E66</f>
        <v/>
      </c>
    </row>
    <row r="58">
      <c r="B58" s="5">
        <f>HYPERLINK("#'Agosto 2028'!B1","Agosto 2028")</f>
        <v/>
      </c>
      <c r="C58" s="6">
        <f>'Agosto 2028'!C42</f>
        <v/>
      </c>
      <c r="D58" s="7">
        <f>'Agosto 2028'!D42</f>
        <v/>
      </c>
      <c r="E58" s="8">
        <f>'Agosto 2028'!E42</f>
        <v/>
      </c>
      <c r="F58" s="7">
        <f>'Agosto 2028'!C37</f>
        <v/>
      </c>
      <c r="G58" s="8">
        <f>'Agosto 2028'!K49</f>
        <v/>
      </c>
      <c r="H58" s="9">
        <f>'Agosto 2028'!C33</f>
        <v/>
      </c>
      <c r="I58" s="10">
        <f>'Agosto 2028'!F33</f>
        <v/>
      </c>
      <c r="J58" s="11">
        <f>'Agosto 2028'!E66</f>
        <v/>
      </c>
    </row>
    <row r="59">
      <c r="B59" s="5">
        <f>HYPERLINK("#'Setembro 2028'!B1","Setembro 2028")</f>
        <v/>
      </c>
      <c r="C59" s="6">
        <f>'Setembro 2028'!C42</f>
        <v/>
      </c>
      <c r="D59" s="7">
        <f>'Setembro 2028'!D42</f>
        <v/>
      </c>
      <c r="E59" s="8">
        <f>'Setembro 2028'!E42</f>
        <v/>
      </c>
      <c r="F59" s="7">
        <f>'Setembro 2028'!C37</f>
        <v/>
      </c>
      <c r="G59" s="8">
        <f>'Setembro 2028'!K49</f>
        <v/>
      </c>
      <c r="H59" s="9">
        <f>'Setembro 2028'!C33</f>
        <v/>
      </c>
      <c r="I59" s="10">
        <f>'Setembro 2028'!F33</f>
        <v/>
      </c>
      <c r="J59" s="11">
        <f>'Setembro 2028'!E66</f>
        <v/>
      </c>
    </row>
    <row r="60">
      <c r="B60" s="5">
        <f>HYPERLINK("#'Outubro 2028'!B1","Outubro 2028")</f>
        <v/>
      </c>
      <c r="C60" s="6">
        <f>'Outubro 2028'!C42</f>
        <v/>
      </c>
      <c r="D60" s="7">
        <f>'Outubro 2028'!D42</f>
        <v/>
      </c>
      <c r="E60" s="8">
        <f>'Outubro 2028'!E42</f>
        <v/>
      </c>
      <c r="F60" s="7">
        <f>'Outubro 2028'!C37</f>
        <v/>
      </c>
      <c r="G60" s="8">
        <f>'Outubro 2028'!K49</f>
        <v/>
      </c>
      <c r="H60" s="9">
        <f>'Outubro 2028'!C33</f>
        <v/>
      </c>
      <c r="I60" s="10">
        <f>'Outubro 2028'!F33</f>
        <v/>
      </c>
      <c r="J60" s="11">
        <f>'Outubro 2028'!E66</f>
        <v/>
      </c>
    </row>
    <row r="61">
      <c r="B61" s="5">
        <f>HYPERLINK("#'Novembro 2028'!B1","Novembro 2028")</f>
        <v/>
      </c>
      <c r="C61" s="6">
        <f>'Novembro 2028'!C42</f>
        <v/>
      </c>
      <c r="D61" s="7">
        <f>'Novembro 2028'!D42</f>
        <v/>
      </c>
      <c r="E61" s="8">
        <f>'Novembro 2028'!E42</f>
        <v/>
      </c>
      <c r="F61" s="7">
        <f>'Novembro 2028'!C37</f>
        <v/>
      </c>
      <c r="G61" s="8">
        <f>'Novembro 2028'!K49</f>
        <v/>
      </c>
      <c r="H61" s="9">
        <f>'Novembro 2028'!C33</f>
        <v/>
      </c>
      <c r="I61" s="10">
        <f>'Novembro 2028'!F33</f>
        <v/>
      </c>
      <c r="J61" s="11">
        <f>'Novembro 2028'!E66</f>
        <v/>
      </c>
    </row>
    <row r="62">
      <c r="B62" s="5">
        <f>HYPERLINK("#'Dezembro 2028'!B1","Dezembro 2028")</f>
        <v/>
      </c>
      <c r="C62" s="6">
        <f>'Dezembro 2028'!C42</f>
        <v/>
      </c>
      <c r="D62" s="7">
        <f>'Dezembro 2028'!D42</f>
        <v/>
      </c>
      <c r="E62" s="8">
        <f>'Dezembro 2028'!E42</f>
        <v/>
      </c>
      <c r="F62" s="7">
        <f>'Dezembro 2028'!C37</f>
        <v/>
      </c>
      <c r="G62" s="8">
        <f>'Dezembro 2028'!K49</f>
        <v/>
      </c>
      <c r="H62" s="9">
        <f>'Dezembro 2028'!C33</f>
        <v/>
      </c>
      <c r="I62" s="10">
        <f>'Dezembro 2028'!F33</f>
        <v/>
      </c>
      <c r="J62" s="11">
        <f>'Dezembro 2028'!E66</f>
        <v/>
      </c>
    </row>
    <row r="63">
      <c r="B63" s="5">
        <f>HYPERLINK("#'Janeiro 2029'!B1","Janeiro 2029")</f>
        <v/>
      </c>
      <c r="C63" s="6">
        <f>'Janeiro 2029'!C42</f>
        <v/>
      </c>
      <c r="D63" s="7">
        <f>'Janeiro 2029'!D42</f>
        <v/>
      </c>
      <c r="E63" s="8">
        <f>'Janeiro 2029'!E42</f>
        <v/>
      </c>
      <c r="F63" s="7">
        <f>'Janeiro 2029'!C37</f>
        <v/>
      </c>
      <c r="G63" s="8">
        <f>'Janeiro 2029'!K49</f>
        <v/>
      </c>
      <c r="H63" s="9">
        <f>'Janeiro 2029'!C33</f>
        <v/>
      </c>
      <c r="I63" s="10">
        <f>'Janeiro 2029'!F33</f>
        <v/>
      </c>
      <c r="J63" s="11">
        <f>'Janeiro 2029'!E66</f>
        <v/>
      </c>
    </row>
    <row r="64">
      <c r="B64" s="12" t="inlineStr">
        <is>
          <t>TOTAL</t>
        </is>
      </c>
      <c r="C64" s="2" t="n"/>
      <c r="D64" s="2" t="n"/>
      <c r="E64" s="2" t="n"/>
      <c r="F64" s="2" t="n"/>
      <c r="G64" s="13">
        <f>SUM(G4:G63)</f>
        <v/>
      </c>
      <c r="H64" s="2" t="n"/>
      <c r="I64" s="2" t="n"/>
      <c r="J64" s="14">
        <f>SUM(J4:J63)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3">
    <mergeCell ref="B64:F64"/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Fevereiro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29</v>
      </c>
      <c r="D36" s="2" t="n"/>
    </row>
    <row r="37">
      <c r="B37" s="16" t="inlineStr">
        <is>
          <t>Nº de Dias Trabalhados</t>
        </is>
      </c>
      <c r="C37" s="21" t="n">
        <v>29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 t="n">
        <v>0</v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Março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'Fevereiro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Abril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'Março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Maio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'Abril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Junho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'Maio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Julho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'Junho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Agosto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'Julho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Setembro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'Agosto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Outubro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'Setembro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Novembro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'Outubro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Dezembro 2024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'Novembro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Janeiro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'Dezembro 2024'!E84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Fevereiro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'Janeiro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Março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'Fevereiro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Abril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'Março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Maio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'Abril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Junho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'Maio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Julho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'Junho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Agosto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'Julho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Setembro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'Agosto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Outubro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'Setembro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Novembro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'Outubro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Dezembro 2025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'Novembro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Janeiro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'Dezembro 2025'!E84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Fevereiro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'Janeiro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Março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'Fevereiro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Abril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'Março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Maio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'Abril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Junho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'Maio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Julho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'Junho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Agosto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'Julho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Setembro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'Agosto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Outubro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'Setembro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Novembro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'Outubro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Dezembro 2026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'Novembro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Janeiro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'Dezembro 2026'!E84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Fevereiro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'Janeiro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Março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'Fevereiro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Abril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'Março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Maio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'Abril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Junho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'Maio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Julho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'Junho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Agosto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'Julho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Setembro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'Agosto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Outubro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'Setembro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Novembro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'Outubro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Dezembro 2027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'Novembro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Janeiro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'Dezembro 2027'!E84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Fevereiro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'Janeiro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Março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'Fevereiro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Abril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'Março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Maio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'Abril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Junho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'Maio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Julho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'Junho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Agosto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'Julho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Setembro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'Agosto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Outubro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'Setembro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Novembro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'Outubro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Dezembro 2028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'Novembro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B1:K9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64.70999999999999" customWidth="1" min="3" max="3"/>
    <col width="13" customWidth="1" min="4" max="4"/>
    <col width="16" customWidth="1" min="5" max="5"/>
    <col width="14" customWidth="1" min="6" max="6"/>
    <col width="13" customWidth="1" min="7" max="7"/>
    <col width="16" customWidth="1" min="8" max="8"/>
    <col width="23.71" customWidth="1" min="9" max="9"/>
    <col width="2" customWidth="1" min="10" max="10"/>
    <col hidden="1" width="16" customWidth="1" min="11" max="11"/>
  </cols>
  <sheetData>
    <row r="1" ht="20" customHeight="1">
      <c r="B1" s="1" t="inlineStr">
        <is>
          <t>UNIVERSIDADE FEDERAL DO RIO DE JANEIRO — PR-6</t>
        </is>
      </c>
      <c r="C1" s="2" t="n"/>
      <c r="D1" s="2" t="n"/>
      <c r="E1" s="2" t="n"/>
      <c r="F1" s="2" t="n"/>
      <c r="G1" s="2" t="n"/>
      <c r="H1" s="2" t="n"/>
      <c r="I1" s="2" t="n"/>
    </row>
    <row r="3" ht="15" customHeight="1">
      <c r="B3" s="15" t="inlineStr">
        <is>
          <t>INSTRUMENTO DE MEDIÇÃO DE RESULTADO (IMR)</t>
        </is>
      </c>
      <c r="C3" s="2" t="n"/>
      <c r="D3" s="2" t="n"/>
      <c r="E3" s="2" t="n"/>
      <c r="F3" s="2" t="n"/>
      <c r="G3" s="2" t="n"/>
      <c r="H3" s="2" t="n"/>
      <c r="I3" s="2" t="n"/>
    </row>
    <row r="7" ht="15" customHeight="1">
      <c r="B7" s="1" t="inlineStr">
        <is>
          <t>IDENTIFICAÇÃO</t>
        </is>
      </c>
      <c r="C7" s="2" t="n"/>
      <c r="D7" s="2" t="n"/>
      <c r="E7" s="2" t="n"/>
      <c r="F7" s="2" t="n"/>
      <c r="G7" s="2" t="n"/>
      <c r="H7" s="2" t="n"/>
      <c r="I7" s="2" t="n"/>
    </row>
    <row r="8">
      <c r="B8" s="16" t="inlineStr">
        <is>
          <t>CONTRATO Nº</t>
        </is>
      </c>
      <c r="C8" s="17" t="inlineStr">
        <is>
          <t>05/24</t>
        </is>
      </c>
      <c r="D8" s="2" t="n"/>
      <c r="E8" s="2" t="n"/>
      <c r="F8" s="2" t="n"/>
      <c r="G8" s="2" t="n"/>
      <c r="H8" s="2" t="n"/>
      <c r="I8" s="2" t="n"/>
    </row>
    <row r="9">
      <c r="B9" s="16" t="inlineStr">
        <is>
          <t>UNIDADE</t>
        </is>
      </c>
      <c r="C9" s="17" t="inlineStr">
        <is>
          <t>MACAÉ</t>
        </is>
      </c>
      <c r="D9" s="2" t="n"/>
      <c r="E9" s="2" t="n"/>
      <c r="F9" s="2" t="n"/>
      <c r="G9" s="2" t="n"/>
      <c r="H9" s="2" t="n"/>
      <c r="I9" s="2" t="n"/>
    </row>
    <row r="10">
      <c r="B10" s="16" t="inlineStr">
        <is>
          <t>CONTRATADA</t>
        </is>
      </c>
      <c r="C10" s="17" t="inlineStr">
        <is>
          <t>ANGEL'S SEGURANÇA E VIGILÂNCIA - EM RECUPERAÇÃO JUDICIAL LTDA</t>
        </is>
      </c>
      <c r="D10" s="2" t="n"/>
      <c r="E10" s="2" t="n"/>
      <c r="F10" s="2" t="n"/>
      <c r="G10" s="2" t="n"/>
      <c r="H10" s="2" t="n"/>
      <c r="I10" s="2" t="n"/>
    </row>
    <row r="11">
      <c r="B11" s="16" t="inlineStr">
        <is>
          <t>FISCAL OPERACIONAL</t>
        </is>
      </c>
      <c r="C11" s="18" t="inlineStr"/>
      <c r="D11" s="2" t="n"/>
      <c r="E11" s="2" t="n"/>
      <c r="F11" s="2" t="n"/>
      <c r="G11" s="2" t="n"/>
      <c r="H11" s="2" t="n"/>
      <c r="I11" s="2" t="n"/>
    </row>
    <row r="12">
      <c r="B12" s="16" t="inlineStr">
        <is>
          <t>PERÍODO DE REFERÊNCIA</t>
        </is>
      </c>
      <c r="C12" s="17" t="inlineStr">
        <is>
          <t>Janeiro 2029</t>
        </is>
      </c>
      <c r="D12" s="2" t="n"/>
      <c r="E12" s="2" t="n"/>
      <c r="F12" s="2" t="n"/>
      <c r="G12" s="2" t="n"/>
      <c r="H12" s="2" t="n"/>
      <c r="I12" s="2" t="n"/>
    </row>
    <row r="14" ht="15" customHeight="1">
      <c r="B14" s="1" t="inlineStr">
        <is>
          <t>AVALIAÇÃO DE DESEMPENHO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B15" s="4" t="inlineStr">
        <is>
          <t>Critério de Avaliação</t>
        </is>
      </c>
      <c r="C15" s="4" t="inlineStr">
        <is>
          <t>PESO (a)</t>
        </is>
      </c>
      <c r="D15" s="4" t="inlineStr">
        <is>
          <t>NOTA (b)
(0,1,3)</t>
        </is>
      </c>
      <c r="E15" s="4" t="inlineStr">
        <is>
          <t>SUBTOTAL (c=a×b)</t>
        </is>
      </c>
      <c r="F15" s="4" t="n"/>
    </row>
    <row r="16" ht="13" customHeight="1">
      <c r="B16" s="16" t="inlineStr">
        <is>
          <t>▶ GRUPO 1 – DESEMPENHO PROFISSIONAL</t>
        </is>
      </c>
      <c r="C16" s="2" t="n"/>
      <c r="D16" s="2" t="n"/>
      <c r="E16" s="2" t="n"/>
      <c r="F16" s="2" t="n"/>
    </row>
    <row r="17">
      <c r="B17" s="19" t="inlineStr">
        <is>
          <t>Cumprimento das Atividades</t>
        </is>
      </c>
      <c r="C17" s="20" t="n">
        <v>0.4</v>
      </c>
      <c r="D17" s="21" t="n">
        <v>3</v>
      </c>
      <c r="E17" s="22">
        <f>C17*D17</f>
        <v/>
      </c>
      <c r="F17" s="2" t="n"/>
      <c r="G17" s="23">
        <f>IF(OR(D17=0,D17=1),"Obrigatória justificativa no campo Justificativa e observações","")</f>
        <v/>
      </c>
      <c r="H17" s="2" t="n"/>
      <c r="I17" s="2" t="n"/>
    </row>
    <row r="18">
      <c r="B18" s="19" t="inlineStr">
        <is>
          <t>Qualificação / Atendimento ao Público / Postura</t>
        </is>
      </c>
      <c r="C18" s="20" t="n">
        <v>0.35</v>
      </c>
      <c r="D18" s="21" t="n">
        <v>3</v>
      </c>
      <c r="E18" s="22">
        <f>C18*D18</f>
        <v/>
      </c>
      <c r="F18" s="2" t="n"/>
      <c r="G18" s="23">
        <f>IF(OR(D18=0,D18=1),"Obrigatória justificativa no campo Justificativa e observações","")</f>
        <v/>
      </c>
      <c r="H18" s="2" t="n"/>
      <c r="I18" s="2" t="n"/>
    </row>
    <row r="19">
      <c r="B19" s="19" t="inlineStr">
        <is>
          <t>Uniformes e Identificação</t>
        </is>
      </c>
      <c r="C19" s="20" t="n">
        <v>0.25</v>
      </c>
      <c r="D19" s="21" t="n">
        <v>3</v>
      </c>
      <c r="E19" s="22">
        <f>C19*D19</f>
        <v/>
      </c>
      <c r="F19" s="2" t="n"/>
      <c r="G19" s="23">
        <f>IF(OR(D19=0,D19=1),"Obrigatória justificativa no campo Justificativa e observações","")</f>
        <v/>
      </c>
      <c r="H19" s="2" t="n"/>
      <c r="I19" s="2" t="n"/>
    </row>
    <row r="20">
      <c r="B20" s="16" t="inlineStr">
        <is>
          <t>TOTAL GRUPO 1</t>
        </is>
      </c>
      <c r="C20" s="24" t="n">
        <v>1</v>
      </c>
      <c r="D20" s="25" t="n"/>
      <c r="E20" s="24">
        <f>E17+E18+E19</f>
        <v/>
      </c>
      <c r="F20" s="2" t="n"/>
    </row>
    <row r="21" ht="13" customHeight="1">
      <c r="B21" s="16" t="inlineStr">
        <is>
          <t>▶ GRUPO 2 – DESEMPENHO DAS ATIVIDADES</t>
        </is>
      </c>
      <c r="C21" s="2" t="n"/>
      <c r="D21" s="2" t="n"/>
      <c r="E21" s="2" t="n"/>
      <c r="F21" s="2" t="n"/>
    </row>
    <row r="22">
      <c r="B22" s="19" t="inlineStr">
        <is>
          <t>Especificação Técnica dos Serviços</t>
        </is>
      </c>
      <c r="C22" s="20" t="n">
        <v>0.4</v>
      </c>
      <c r="D22" s="21" t="n">
        <v>3</v>
      </c>
      <c r="E22" s="22">
        <f>C22*D22</f>
        <v/>
      </c>
      <c r="F22" s="2" t="n"/>
      <c r="G22" s="23">
        <f>IF(OR(D22=0,D22=1),"Obrigatória justificativa no campo Justificativa e observações","")</f>
        <v/>
      </c>
      <c r="H22" s="2" t="n"/>
      <c r="I22" s="2" t="n"/>
    </row>
    <row r="23">
      <c r="B23" s="19" t="inlineStr">
        <is>
          <t>Equipamentos e Acessórios</t>
        </is>
      </c>
      <c r="C23" s="20" t="n">
        <v>0.2</v>
      </c>
      <c r="D23" s="21" t="n">
        <v>3</v>
      </c>
      <c r="E23" s="22">
        <f>C23*D23</f>
        <v/>
      </c>
      <c r="F23" s="2" t="n"/>
      <c r="G23" s="23">
        <f>IF(OR(D23=0,D23=1),"Obrigatória justificativa no campo Justificativa e observações","")</f>
        <v/>
      </c>
      <c r="H23" s="2" t="n"/>
      <c r="I23" s="2" t="n"/>
    </row>
    <row r="24">
      <c r="B24" s="19" t="inlineStr">
        <is>
          <t>Atendimento às Ocorrências</t>
        </is>
      </c>
      <c r="C24" s="20" t="n">
        <v>0.4</v>
      </c>
      <c r="D24" s="21" t="n">
        <v>3</v>
      </c>
      <c r="E24" s="22">
        <f>C24*D24</f>
        <v/>
      </c>
      <c r="F24" s="2" t="n"/>
      <c r="G24" s="23">
        <f>IF(OR(D24=0,D24=1),"Obrigatória justificativa no campo Justificativa e observações","")</f>
        <v/>
      </c>
      <c r="H24" s="2" t="n"/>
      <c r="I24" s="2" t="n"/>
    </row>
    <row r="25">
      <c r="B25" s="16" t="inlineStr">
        <is>
          <t>TOTAL GRUPO 2</t>
        </is>
      </c>
      <c r="C25" s="24" t="n">
        <v>1</v>
      </c>
      <c r="D25" s="25" t="n"/>
      <c r="E25" s="24">
        <f>E22+E23+E24</f>
        <v/>
      </c>
      <c r="F25" s="2" t="n"/>
    </row>
    <row r="26" ht="13" customHeight="1">
      <c r="B26" s="16" t="inlineStr">
        <is>
          <t>▶ GRUPO 3 – GERENCIAMENTO</t>
        </is>
      </c>
      <c r="C26" s="2" t="n"/>
      <c r="D26" s="2" t="n"/>
      <c r="E26" s="2" t="n"/>
      <c r="F26" s="2" t="n"/>
    </row>
    <row r="27">
      <c r="B27" s="19" t="inlineStr">
        <is>
          <t>Periodicidade da Supervisão</t>
        </is>
      </c>
      <c r="C27" s="20" t="n">
        <v>0.2</v>
      </c>
      <c r="D27" s="21" t="n">
        <v>3</v>
      </c>
      <c r="E27" s="22">
        <f>C27*D27</f>
        <v/>
      </c>
      <c r="F27" s="2" t="n"/>
      <c r="G27" s="23">
        <f>IF(OR(D27=0,D27=1),"Obrigatória justificativa no campo Justificativa e observações","")</f>
        <v/>
      </c>
      <c r="H27" s="2" t="n"/>
      <c r="I27" s="2" t="n"/>
    </row>
    <row r="28">
      <c r="B28" s="19" t="inlineStr">
        <is>
          <t>Gerenciamento das Atividades Operacionais</t>
        </is>
      </c>
      <c r="C28" s="20" t="n">
        <v>0.3</v>
      </c>
      <c r="D28" s="21" t="n">
        <v>3</v>
      </c>
      <c r="E28" s="22">
        <f>C28*D28</f>
        <v/>
      </c>
      <c r="F28" s="2" t="n"/>
      <c r="G28" s="23">
        <f>IF(OR(D28=0,D28=1),"Obrigatória justificativa no campo Justificativa e observações","")</f>
        <v/>
      </c>
      <c r="H28" s="2" t="n"/>
      <c r="I28" s="2" t="n"/>
    </row>
    <row r="29">
      <c r="B29" s="19" t="inlineStr">
        <is>
          <t>Atendimento às Solicitações</t>
        </is>
      </c>
      <c r="C29" s="20" t="n">
        <v>0.25</v>
      </c>
      <c r="D29" s="21" t="n">
        <v>3</v>
      </c>
      <c r="E29" s="22">
        <f>C29*D29</f>
        <v/>
      </c>
      <c r="F29" s="2" t="n"/>
      <c r="G29" s="23">
        <f>IF(OR(D29=0,D29=1),"Obrigatória justificativa no campo Justificativa e observações","")</f>
        <v/>
      </c>
      <c r="H29" s="2" t="n"/>
      <c r="I29" s="2" t="n"/>
    </row>
    <row r="30">
      <c r="B30" s="19" t="inlineStr">
        <is>
          <t>Salários, Benefícios e Obrigações Trabalhistas</t>
        </is>
      </c>
      <c r="C30" s="20" t="n">
        <v>0.25</v>
      </c>
      <c r="D30" s="21" t="n">
        <v>3</v>
      </c>
      <c r="E30" s="22">
        <f>C30*D30</f>
        <v/>
      </c>
      <c r="F30" s="2" t="n"/>
      <c r="G30" s="23">
        <f>IF(OR(D30=0,D30=1),"Obrigatória justificativa no campo Justificativa e observações","")</f>
        <v/>
      </c>
      <c r="H30" s="2" t="n"/>
      <c r="I30" s="2" t="n"/>
    </row>
    <row r="31">
      <c r="B31" s="16" t="inlineStr">
        <is>
          <t>TOTAL GRUPO 3</t>
        </is>
      </c>
      <c r="C31" s="24" t="n">
        <v>1</v>
      </c>
      <c r="D31" s="25" t="n"/>
      <c r="E31" s="24">
        <f>E27+E28+E29+E30</f>
        <v/>
      </c>
      <c r="F31" s="2" t="n"/>
    </row>
    <row r="32">
      <c r="B32" s="26" t="inlineStr">
        <is>
          <t>NOTA FINAL (G1+G2+G3)</t>
        </is>
      </c>
      <c r="C32" s="27" t="n"/>
      <c r="D32" s="2" t="n"/>
      <c r="E32" s="28">
        <f>E20+E25+E31</f>
        <v/>
      </c>
      <c r="F32" s="2" t="n"/>
    </row>
    <row r="33">
      <c r="B33" s="16" t="inlineStr">
        <is>
          <t>CONCEITO</t>
        </is>
      </c>
      <c r="C33" s="29">
        <f>IF(E32&gt;=8.1,"A",IF(E32&gt;=7.65,"B",IF(E32&gt;=6.75,"C",IF(E32&gt;=5.85,"D",IF(E32&gt;=5.4,"E","F")))))</f>
        <v/>
      </c>
      <c r="D33" s="2" t="n"/>
      <c r="E33" s="15" t="inlineStr">
        <is>
          <t>% a pagar</t>
        </is>
      </c>
      <c r="F33" s="30">
        <f>IF(C33="A",1,IF(C33="B",0.95,IF(C33="C",0.9,IF(C33="D",0.85,IF(C33="E",0.8,0.75)))))</f>
        <v/>
      </c>
    </row>
    <row r="35" ht="13" customHeight="1">
      <c r="B35" s="1" t="inlineStr">
        <is>
          <t>PARÂMETROS (base 30 avos)</t>
        </is>
      </c>
      <c r="C35" s="2" t="n"/>
      <c r="D35" s="2" t="n"/>
      <c r="E35" s="2" t="n"/>
      <c r="F35" s="2" t="n"/>
      <c r="G35" s="2" t="n"/>
      <c r="H35" s="2" t="n"/>
      <c r="I35" s="2" t="n"/>
    </row>
    <row r="36" hidden="1">
      <c r="B36" s="16" t="inlineStr">
        <is>
          <t>Dias no mês (calendário)</t>
        </is>
      </c>
      <c r="C36" s="31" t="n">
        <v>30</v>
      </c>
      <c r="D36" s="2" t="n"/>
    </row>
    <row r="37">
      <c r="B37" s="16" t="inlineStr">
        <is>
          <t>Nº de Dias Trabalhados</t>
        </is>
      </c>
      <c r="C37" s="21" t="n">
        <v>30</v>
      </c>
      <c r="D37" s="2" t="n"/>
    </row>
    <row r="38" hidden="1">
      <c r="B38" s="16" t="inlineStr">
        <is>
          <t>Dias para cálculo (base 30)</t>
        </is>
      </c>
      <c r="C38" s="32">
        <f>IF(C37&gt;=C36,30,MIN(C37,C36))</f>
        <v/>
      </c>
      <c r="D38" s="2" t="n"/>
    </row>
    <row r="40" ht="13" customHeight="1">
      <c r="B40" s="1" t="inlineStr">
        <is>
          <t>POSTOS DE TRABALHO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B41" s="4" t="inlineStr">
        <is>
          <t>Item</t>
        </is>
      </c>
      <c r="C41" s="4" t="inlineStr">
        <is>
          <t>POSTO</t>
        </is>
      </c>
      <c r="D41" s="4" t="inlineStr">
        <is>
          <t>Qtde
Contratada</t>
        </is>
      </c>
      <c r="E41" s="4" t="inlineStr">
        <is>
          <t>Valor Unit.
(R$)</t>
        </is>
      </c>
      <c r="F41" s="4" t="inlineStr">
        <is>
          <t>Horas</t>
        </is>
      </c>
      <c r="G41" s="4" t="inlineStr">
        <is>
          <t>Sem
Cob. (h)</t>
        </is>
      </c>
      <c r="H41" s="4" t="inlineStr">
        <is>
          <t>Valor Hora
(R$)</t>
        </is>
      </c>
      <c r="I41" s="4" t="inlineStr">
        <is>
          <t>Valor após
Descontos (R$)</t>
        </is>
      </c>
      <c r="K41" s="33" t="inlineStr">
        <is>
          <t>(aux) Mensal</t>
        </is>
      </c>
    </row>
    <row r="42">
      <c r="B42" s="34" t="inlineStr">
        <is>
          <t>1</t>
        </is>
      </c>
      <c r="C42" s="6" t="inlineStr">
        <is>
          <t>Vigilância armada de 12x36 horas diurnas de Segunda Feira a Domingo</t>
        </is>
      </c>
      <c r="D42" s="34" t="n">
        <v>4</v>
      </c>
      <c r="E42" s="35" t="n">
        <v>5677.75</v>
      </c>
      <c r="F42" s="36">
        <f>IF(N(D42)&gt;0,D42*220,0)</f>
        <v/>
      </c>
      <c r="G42" s="21" t="inlineStr"/>
      <c r="H42" s="8">
        <f>IF(N(D42)&gt;0,ROUNDDOWN(E42/220,2),0)</f>
        <v/>
      </c>
      <c r="I42" s="37">
        <f>IF(AND(N(D42)&gt;0,N(E42)&gt;0),MAX(0,ROUNDDOWN((D42*E42-H42*N(G42))/30*C38*F33,2)),0)</f>
        <v/>
      </c>
      <c r="K42" s="38">
        <f>ROUNDDOWN(N(D42)*N(E42),2)</f>
        <v/>
      </c>
    </row>
    <row r="43">
      <c r="B43" s="34" t="inlineStr">
        <is>
          <t>2</t>
        </is>
      </c>
      <c r="C43" s="6" t="inlineStr">
        <is>
          <t>Vigilância armada de 12x36 horas noturnas de Segunda Feira a Domingo</t>
        </is>
      </c>
      <c r="D43" s="34" t="n">
        <v>12</v>
      </c>
      <c r="E43" s="35" t="n">
        <v>6228.99</v>
      </c>
      <c r="F43" s="36">
        <f>IF(N(D43)&gt;0,D43*220,0)</f>
        <v/>
      </c>
      <c r="G43" s="21" t="inlineStr"/>
      <c r="H43" s="8">
        <f>IF(N(D43)&gt;0,ROUNDDOWN(E43/220,2),0)</f>
        <v/>
      </c>
      <c r="I43" s="37">
        <f>IF(AND(N(D43)&gt;0,N(E43)&gt;0),MAX(0,ROUNDDOWN((D43*E43-H43*N(G43))/30*C38*F33,2)),0)</f>
        <v/>
      </c>
      <c r="K43" s="38">
        <f>ROUNDDOWN(N(D43)*N(E43),2)</f>
        <v/>
      </c>
    </row>
    <row r="44">
      <c r="B44" s="34" t="inlineStr">
        <is>
          <t>3</t>
        </is>
      </c>
      <c r="C44" s="6" t="inlineStr">
        <is>
          <t>Vigilância desarmada de 12x36 horas diurnas de Segunda Feira a Domingo</t>
        </is>
      </c>
      <c r="D44" s="34" t="n">
        <v>18</v>
      </c>
      <c r="E44" s="35" t="n">
        <v>5672.89</v>
      </c>
      <c r="F44" s="36">
        <f>IF(N(D44)&gt;0,D44*220,0)</f>
        <v/>
      </c>
      <c r="G44" s="21" t="inlineStr"/>
      <c r="H44" s="8">
        <f>IF(N(D44)&gt;0,ROUNDDOWN(E44/220,2),0)</f>
        <v/>
      </c>
      <c r="I44" s="37">
        <f>IF(AND(N(D44)&gt;0,N(E44)&gt;0),MAX(0,ROUNDDOWN((D44*E44-H44*N(G44))/30*C38*F33,2)),0)</f>
        <v/>
      </c>
      <c r="K44" s="38">
        <f>ROUNDDOWN(N(D44)*N(E44),2)</f>
        <v/>
      </c>
    </row>
    <row r="45">
      <c r="B45" s="34" t="inlineStr">
        <is>
          <t>4</t>
        </is>
      </c>
      <c r="C45" s="6" t="inlineStr">
        <is>
          <t>Vigilância desarmada de 12x36 horas noturnas de Segunda Feira a Domingo</t>
        </is>
      </c>
      <c r="D45" s="34" t="n">
        <v>10</v>
      </c>
      <c r="E45" s="35" t="n">
        <v>6224.09</v>
      </c>
      <c r="F45" s="36">
        <f>IF(N(D45)&gt;0,D45*220,0)</f>
        <v/>
      </c>
      <c r="G45" s="21" t="inlineStr"/>
      <c r="H45" s="8">
        <f>IF(N(D45)&gt;0,ROUNDDOWN(E45/220,2),0)</f>
        <v/>
      </c>
      <c r="I45" s="37">
        <f>IF(AND(N(D45)&gt;0,N(E45)&gt;0),MAX(0,ROUNDDOWN((D45*E45-H45*N(G45))/30*C38*F33,2)),0)</f>
        <v/>
      </c>
      <c r="K45" s="38">
        <f>ROUNDDOWN(N(D45)*N(E45),2)</f>
        <v/>
      </c>
    </row>
    <row r="46">
      <c r="B46" s="34" t="inlineStr">
        <is>
          <t>5</t>
        </is>
      </c>
      <c r="C46" s="6" t="inlineStr">
        <is>
          <t>Vigilância desarmada de 44h (8:48 horas) diurnas de Segunda Feira a Sexta</t>
        </is>
      </c>
      <c r="D46" s="34" t="n">
        <v>1</v>
      </c>
      <c r="E46" s="35" t="n">
        <v>6019.58</v>
      </c>
      <c r="F46" s="36">
        <f>IF(N(D46)&gt;0,D46*220,0)</f>
        <v/>
      </c>
      <c r="G46" s="21" t="inlineStr"/>
      <c r="H46" s="8">
        <f>IF(N(D46)&gt;0,ROUNDDOWN(E46/220,2),0)</f>
        <v/>
      </c>
      <c r="I46" s="37">
        <f>IF(AND(N(D46)&gt;0,N(E46)&gt;0),MAX(0,ROUNDDOWN((D46*E46-H46*N(G46))/30*C38*F33,2)),0)</f>
        <v/>
      </c>
      <c r="K46" s="38">
        <f>ROUNDDOWN(N(D46)*N(E46),2)</f>
        <v/>
      </c>
    </row>
    <row r="47">
      <c r="B47" s="34" t="inlineStr">
        <is>
          <t>6</t>
        </is>
      </c>
      <c r="C47" s="6" t="inlineStr">
        <is>
          <t>Vigilância desarmada de 12x36 horas diurnas de Segunda Feira a Domingo COM INTRAJORNADA</t>
        </is>
      </c>
      <c r="D47" s="34" t="n">
        <v>2</v>
      </c>
      <c r="E47" s="35" t="n">
        <v>6064.91</v>
      </c>
      <c r="F47" s="36">
        <f>IF(N(D47)&gt;0,D47*220,0)</f>
        <v/>
      </c>
      <c r="G47" s="21" t="inlineStr"/>
      <c r="H47" s="8">
        <f>IF(N(D47)&gt;0,ROUNDDOWN(E47/220,2),0)</f>
        <v/>
      </c>
      <c r="I47" s="37">
        <f>IF(AND(N(D47)&gt;0,N(E47)&gt;0),MAX(0,ROUNDDOWN((D47*E47-H47*N(G47))/30*C38*F33,2)),0)</f>
        <v/>
      </c>
      <c r="K47" s="38">
        <f>ROUNDDOWN(N(D47)*N(E47),2)</f>
        <v/>
      </c>
    </row>
    <row r="48">
      <c r="B48" s="34" t="inlineStr">
        <is>
          <t>7</t>
        </is>
      </c>
      <c r="C48" s="6" t="inlineStr">
        <is>
          <t>Vigilância desarmada de 12x36 horas noturnas de Segunda Feira a Domingo COM INTRAJORNADA</t>
        </is>
      </c>
      <c r="D48" s="34" t="n">
        <v>2</v>
      </c>
      <c r="E48" s="35" t="n">
        <v>6654.1</v>
      </c>
      <c r="F48" s="36">
        <f>IF(N(D48)&gt;0,D48*220,0)</f>
        <v/>
      </c>
      <c r="G48" s="21" t="inlineStr"/>
      <c r="H48" s="8">
        <f>IF(N(D48)&gt;0,ROUNDDOWN(E48/220,2),0)</f>
        <v/>
      </c>
      <c r="I48" s="37">
        <f>IF(AND(N(D48)&gt;0,N(E48)&gt;0),MAX(0,ROUNDDOWN((D48*E48-H48*N(G48))/30*C38*F33,2)),0)</f>
        <v/>
      </c>
      <c r="K48" s="38">
        <f>ROUNDDOWN(N(D48)*N(E48),2)</f>
        <v/>
      </c>
    </row>
    <row r="49">
      <c r="B49" s="12" t="inlineStr">
        <is>
          <t>TOTAIS</t>
        </is>
      </c>
      <c r="C49" s="2" t="n"/>
      <c r="D49" s="39">
        <f>SUM(D42:D48)</f>
        <v/>
      </c>
      <c r="E49" s="40" t="inlineStr">
        <is>
          <t>◀ Qtde contratada</t>
        </is>
      </c>
      <c r="F49" s="2" t="n"/>
      <c r="G49" s="2" t="n"/>
      <c r="H49" s="2" t="n"/>
      <c r="I49" s="41">
        <f>SUM(I42:I48)</f>
        <v/>
      </c>
      <c r="K49" s="42">
        <f>SUM(K42:K48)</f>
        <v/>
      </c>
    </row>
    <row r="51" ht="13" customHeight="1">
      <c r="B51" s="43" t="inlineStr">
        <is>
          <t>INSTRUMENTO DE COBRANÇA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B52" s="44" t="inlineStr">
        <is>
          <t>Item</t>
        </is>
      </c>
      <c r="C52" s="44" t="inlineStr">
        <is>
          <t>Posto</t>
        </is>
      </c>
      <c r="D52" s="44" t="inlineStr">
        <is>
          <t>Qtde Fat.</t>
        </is>
      </c>
      <c r="E52" s="44" t="inlineStr">
        <is>
          <t>Valor Unit. Faturado (R$)</t>
        </is>
      </c>
      <c r="F52" s="44" t="n"/>
      <c r="G52" s="44" t="n"/>
      <c r="H52" s="44" t="n"/>
      <c r="I52" s="44" t="n"/>
    </row>
    <row r="53">
      <c r="B53" s="45">
        <f>B42</f>
        <v/>
      </c>
      <c r="C53" s="46">
        <f>C42</f>
        <v/>
      </c>
      <c r="D53" s="47">
        <f>N(D42)</f>
        <v/>
      </c>
      <c r="E53" s="48">
        <f>IF(N(D42)&gt;0,ROUNDDOWN(I42/D42,2),0)</f>
        <v/>
      </c>
      <c r="F53" s="49" t="n"/>
      <c r="G53" s="49" t="n"/>
      <c r="H53" s="49" t="n"/>
      <c r="I53" s="49" t="n"/>
    </row>
    <row r="54">
      <c r="B54" s="45">
        <f>B43</f>
        <v/>
      </c>
      <c r="C54" s="46">
        <f>C43</f>
        <v/>
      </c>
      <c r="D54" s="47">
        <f>N(D43)</f>
        <v/>
      </c>
      <c r="E54" s="48">
        <f>IF(N(D43)&gt;0,ROUNDDOWN(I43/D43,2),0)</f>
        <v/>
      </c>
      <c r="F54" s="49" t="n"/>
      <c r="G54" s="49" t="n"/>
      <c r="H54" s="49" t="n"/>
      <c r="I54" s="49" t="n"/>
    </row>
    <row r="55">
      <c r="B55" s="45">
        <f>B44</f>
        <v/>
      </c>
      <c r="C55" s="46">
        <f>C44</f>
        <v/>
      </c>
      <c r="D55" s="47">
        <f>N(D44)</f>
        <v/>
      </c>
      <c r="E55" s="48">
        <f>IF(N(D44)&gt;0,ROUNDDOWN(I44/D44,2),0)</f>
        <v/>
      </c>
      <c r="F55" s="49" t="n"/>
      <c r="G55" s="49" t="n"/>
      <c r="H55" s="49" t="n"/>
      <c r="I55" s="49" t="n"/>
    </row>
    <row r="56">
      <c r="B56" s="45">
        <f>B45</f>
        <v/>
      </c>
      <c r="C56" s="46">
        <f>C45</f>
        <v/>
      </c>
      <c r="D56" s="47">
        <f>N(D45)</f>
        <v/>
      </c>
      <c r="E56" s="48">
        <f>IF(N(D45)&gt;0,ROUNDDOWN(I45/D45,2),0)</f>
        <v/>
      </c>
      <c r="F56" s="49" t="n"/>
      <c r="G56" s="49" t="n"/>
      <c r="H56" s="49" t="n"/>
      <c r="I56" s="49" t="n"/>
    </row>
    <row r="57">
      <c r="B57" s="45">
        <f>B46</f>
        <v/>
      </c>
      <c r="C57" s="46">
        <f>C46</f>
        <v/>
      </c>
      <c r="D57" s="47">
        <f>N(D46)</f>
        <v/>
      </c>
      <c r="E57" s="48">
        <f>IF(N(D46)&gt;0,ROUNDDOWN(I46/D46,2),0)</f>
        <v/>
      </c>
      <c r="F57" s="49" t="n"/>
      <c r="G57" s="49" t="n"/>
      <c r="H57" s="49" t="n"/>
      <c r="I57" s="49" t="n"/>
    </row>
    <row r="58">
      <c r="B58" s="45">
        <f>B47</f>
        <v/>
      </c>
      <c r="C58" s="46">
        <f>C47</f>
        <v/>
      </c>
      <c r="D58" s="47">
        <f>N(D47)</f>
        <v/>
      </c>
      <c r="E58" s="48">
        <f>IF(N(D47)&gt;0,ROUNDDOWN(I47/D47,2),0)</f>
        <v/>
      </c>
      <c r="F58" s="49" t="n"/>
      <c r="G58" s="49" t="n"/>
      <c r="H58" s="49" t="n"/>
      <c r="I58" s="49" t="n"/>
    </row>
    <row r="59">
      <c r="B59" s="45">
        <f>B48</f>
        <v/>
      </c>
      <c r="C59" s="46">
        <f>C48</f>
        <v/>
      </c>
      <c r="D59" s="47">
        <f>N(D48)</f>
        <v/>
      </c>
      <c r="E59" s="48">
        <f>IF(N(D48)&gt;0,ROUNDDOWN(I48/D48,2),0)</f>
        <v/>
      </c>
      <c r="F59" s="49" t="n"/>
      <c r="G59" s="49" t="n"/>
      <c r="H59" s="49" t="n"/>
      <c r="I59" s="49" t="n"/>
    </row>
    <row r="61" ht="13" customHeight="1">
      <c r="B61" s="1" t="inlineStr">
        <is>
          <t>RESUMO FINANCEIRO</t>
        </is>
      </c>
      <c r="C61" s="2" t="n"/>
      <c r="D61" s="2" t="n"/>
      <c r="E61" s="2" t="n"/>
      <c r="F61" s="2" t="n"/>
    </row>
    <row r="62">
      <c r="B62" s="16" t="inlineStr">
        <is>
          <t>Contratado Mensal – Total (R$)</t>
        </is>
      </c>
      <c r="C62" s="2" t="n"/>
      <c r="D62" s="2" t="n"/>
      <c r="E62" s="11">
        <f>K49</f>
        <v/>
      </c>
      <c r="F62" s="2" t="n"/>
    </row>
    <row r="63">
      <c r="B63" s="16" t="inlineStr">
        <is>
          <t>Conceito</t>
        </is>
      </c>
      <c r="C63" s="2" t="n"/>
      <c r="D63" s="2" t="n"/>
      <c r="E63" s="50">
        <f>C33</f>
        <v/>
      </c>
      <c r="F63" s="2" t="n"/>
    </row>
    <row r="64">
      <c r="B64" s="16" t="inlineStr">
        <is>
          <t>% do Faturamento a ser Liberado</t>
        </is>
      </c>
      <c r="C64" s="2" t="n"/>
      <c r="D64" s="2" t="n"/>
      <c r="E64" s="51">
        <f>F33</f>
        <v/>
      </c>
      <c r="F64" s="2" t="n"/>
    </row>
    <row r="65">
      <c r="B65" s="52" t="inlineStr">
        <is>
          <t>Valor Glosado por QUALIDADE (R$)</t>
        </is>
      </c>
      <c r="C65" s="2" t="n"/>
      <c r="D65" s="2" t="n"/>
      <c r="E65" s="53">
        <f>ROUNDDOWN(K49-K49*F33,2)</f>
        <v/>
      </c>
      <c r="F65" s="2" t="n"/>
    </row>
    <row r="66">
      <c r="B66" s="54" t="inlineStr">
        <is>
          <t>Valor Aprovado para Pagamento (R$)</t>
        </is>
      </c>
      <c r="C66" s="2" t="n"/>
      <c r="D66" s="2" t="n"/>
      <c r="E66" s="55">
        <f>MAX(0,ROUNDDOWN(I49+E82,2))</f>
        <v/>
      </c>
      <c r="F66" s="2" t="n"/>
    </row>
    <row r="68" ht="13" customHeight="1">
      <c r="B68" s="1" t="inlineStr">
        <is>
          <t>FAIXA DE AJUSTE</t>
        </is>
      </c>
      <c r="C68" s="2" t="n"/>
      <c r="D68" s="2" t="n"/>
      <c r="E68" s="2" t="n"/>
      <c r="F68" s="2" t="n"/>
    </row>
    <row r="69">
      <c r="B69" s="4" t="inlineStr">
        <is>
          <t>Conceito</t>
        </is>
      </c>
      <c r="C69" s="4" t="inlineStr">
        <is>
          <t>% a Pagar</t>
        </is>
      </c>
      <c r="D69" s="4" t="n"/>
      <c r="E69" s="4" t="inlineStr">
        <is>
          <t>Nota Média</t>
        </is>
      </c>
      <c r="F69" s="4" t="n"/>
    </row>
    <row r="70">
      <c r="B70" s="9" t="inlineStr">
        <is>
          <t>A</t>
        </is>
      </c>
      <c r="C70" s="7" t="inlineStr">
        <is>
          <t>100%</t>
        </is>
      </c>
      <c r="D70" s="2" t="n"/>
      <c r="E70" s="7" t="inlineStr">
        <is>
          <t>9,00–8,10</t>
        </is>
      </c>
      <c r="F70" s="2" t="n"/>
    </row>
    <row r="71">
      <c r="B71" s="9" t="inlineStr">
        <is>
          <t>B</t>
        </is>
      </c>
      <c r="C71" s="7" t="inlineStr">
        <is>
          <t>95%</t>
        </is>
      </c>
      <c r="D71" s="2" t="n"/>
      <c r="E71" s="7" t="inlineStr">
        <is>
          <t>8,09–7,65</t>
        </is>
      </c>
      <c r="F71" s="2" t="n"/>
    </row>
    <row r="72">
      <c r="B72" s="9" t="inlineStr">
        <is>
          <t>C</t>
        </is>
      </c>
      <c r="C72" s="7" t="inlineStr">
        <is>
          <t>90%</t>
        </is>
      </c>
      <c r="D72" s="2" t="n"/>
      <c r="E72" s="7" t="inlineStr">
        <is>
          <t>7,64–6,75</t>
        </is>
      </c>
      <c r="F72" s="2" t="n"/>
    </row>
    <row r="73">
      <c r="B73" s="9" t="inlineStr">
        <is>
          <t>D</t>
        </is>
      </c>
      <c r="C73" s="7" t="inlineStr">
        <is>
          <t>85%</t>
        </is>
      </c>
      <c r="D73" s="2" t="n"/>
      <c r="E73" s="7" t="inlineStr">
        <is>
          <t>6,74–5,85</t>
        </is>
      </c>
      <c r="F73" s="2" t="n"/>
    </row>
    <row r="74">
      <c r="B74" s="9" t="inlineStr">
        <is>
          <t>E</t>
        </is>
      </c>
      <c r="C74" s="7" t="inlineStr">
        <is>
          <t>80%</t>
        </is>
      </c>
      <c r="D74" s="2" t="n"/>
      <c r="E74" s="7" t="inlineStr">
        <is>
          <t>5,84–5,40</t>
        </is>
      </c>
      <c r="F74" s="2" t="n"/>
    </row>
    <row r="75">
      <c r="B75" s="9" t="inlineStr">
        <is>
          <t>F</t>
        </is>
      </c>
      <c r="C75" s="7" t="inlineStr">
        <is>
          <t>75%</t>
        </is>
      </c>
      <c r="D75" s="2" t="n"/>
      <c r="E75" s="7" t="inlineStr">
        <is>
          <t>&lt; 5,40</t>
        </is>
      </c>
      <c r="F75" s="2" t="n"/>
    </row>
    <row r="77" ht="13" customHeight="1">
      <c r="B77" s="56" t="inlineStr">
        <is>
          <t>REEMBOLSO DE CRECHE</t>
        </is>
      </c>
      <c r="C77" s="2" t="n"/>
      <c r="D77" s="2" t="n"/>
      <c r="E77" s="2" t="n"/>
      <c r="F77" s="2" t="n"/>
    </row>
    <row r="78">
      <c r="B78" s="57" t="inlineStr">
        <is>
          <t>Valor estimado unitário (R$)</t>
        </is>
      </c>
      <c r="C78" s="2" t="n"/>
      <c r="D78" s="2" t="n"/>
      <c r="E78" s="58" t="n">
        <v>0</v>
      </c>
      <c r="F78" s="2" t="n"/>
    </row>
    <row r="79">
      <c r="B79" s="57" t="inlineStr">
        <is>
          <t>Valor Reembolso Creche Retido (R$)  (estimado × qtde contratada)</t>
        </is>
      </c>
      <c r="C79" s="2" t="n"/>
      <c r="D79" s="2" t="n"/>
      <c r="E79" s="59">
        <f>ROUNDDOWN(E78*D49,2)</f>
        <v/>
      </c>
      <c r="F79" s="2" t="n"/>
    </row>
    <row r="80">
      <c r="B80" s="57" t="inlineStr">
        <is>
          <t>Reembolsos Aprovados (quantidade)</t>
        </is>
      </c>
      <c r="C80" s="2" t="n"/>
      <c r="D80" s="2" t="n"/>
      <c r="E80" s="60" t="inlineStr"/>
      <c r="F80" s="2" t="n"/>
    </row>
    <row r="81">
      <c r="B81" s="57" t="inlineStr">
        <is>
          <t>Reembolso por dependente (R$)</t>
        </is>
      </c>
      <c r="C81" s="2" t="n"/>
      <c r="D81" s="2" t="n"/>
      <c r="E81" s="58" t="n">
        <v>526.64</v>
      </c>
      <c r="F81" s="2" t="n"/>
    </row>
    <row r="82">
      <c r="B82" s="57" t="inlineStr">
        <is>
          <t>Valor Total dos Reembolsos (R$)  (Aprovados × Reembolso por dependente)</t>
        </is>
      </c>
      <c r="C82" s="2" t="n"/>
      <c r="D82" s="2" t="n"/>
      <c r="E82" s="59">
        <f>ROUNDDOWN(E80*E81,2)</f>
        <v/>
      </c>
      <c r="F82" s="2" t="n"/>
    </row>
    <row r="83">
      <c r="B83" s="57" t="inlineStr">
        <is>
          <t>Saldo do mês anterior (R$)</t>
        </is>
      </c>
      <c r="C83" s="2" t="n"/>
      <c r="D83" s="2" t="n"/>
      <c r="E83" s="58">
        <f>'Dezembro 2028'!E84</f>
        <v/>
      </c>
      <c r="F83" s="2" t="n"/>
    </row>
    <row r="84">
      <c r="B84" s="57" t="inlineStr">
        <is>
          <t>Saldo de Reembolso (R$)  (Saldo anterior + Retido − Total)</t>
        </is>
      </c>
      <c r="C84" s="2" t="n"/>
      <c r="D84" s="2" t="n"/>
      <c r="E84" s="11">
        <f>E83+E79-E82</f>
        <v/>
      </c>
      <c r="F84" s="2" t="n"/>
    </row>
    <row r="85">
      <c r="B85" s="61">
        <f>IF(E84&lt;0,"⚠ Saldo negativo — se houver mais de uma unidade favor somar o saldo de todas; se permanecer negativo, aditivar o contrato.","")</f>
        <v/>
      </c>
      <c r="C85" s="2" t="n"/>
      <c r="D85" s="2" t="n"/>
      <c r="E85" s="2" t="n"/>
      <c r="F85" s="2" t="n"/>
    </row>
    <row r="86">
      <c r="B86" s="2" t="n"/>
      <c r="C86" s="2" t="n"/>
      <c r="D86" s="2" t="n"/>
      <c r="E86" s="2" t="n"/>
      <c r="F86" s="2" t="n"/>
    </row>
    <row r="88">
      <c r="B88" s="1" t="inlineStr">
        <is>
          <t>JUSTIFICATIVAS E OBSERVAÇÕES</t>
        </is>
      </c>
      <c r="C88" s="2" t="n"/>
      <c r="D88" s="2" t="n"/>
      <c r="E88" s="2" t="n"/>
      <c r="F88" s="2" t="n"/>
    </row>
    <row r="89">
      <c r="B89" s="62" t="inlineStr"/>
      <c r="C89" s="2" t="n"/>
      <c r="D89" s="2" t="n"/>
      <c r="E89" s="2" t="n"/>
      <c r="F89" s="2" t="n"/>
      <c r="G89" s="2" t="n"/>
      <c r="H89" s="2" t="n"/>
      <c r="I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C71F"/>
  <mergeCells count="99">
    <mergeCell ref="B16:F16"/>
    <mergeCell ref="E62:F62"/>
    <mergeCell ref="E55:I55"/>
    <mergeCell ref="E71:F71"/>
    <mergeCell ref="E23:F23"/>
    <mergeCell ref="E52:I52"/>
    <mergeCell ref="E64:F64"/>
    <mergeCell ref="C73:D73"/>
    <mergeCell ref="E79:F79"/>
    <mergeCell ref="G24:I24"/>
    <mergeCell ref="E73:F73"/>
    <mergeCell ref="B84:D84"/>
    <mergeCell ref="E63:F63"/>
    <mergeCell ref="E65:F65"/>
    <mergeCell ref="B80:D80"/>
    <mergeCell ref="E27:F27"/>
    <mergeCell ref="C36:D36"/>
    <mergeCell ref="B62:D62"/>
    <mergeCell ref="B49:C49"/>
    <mergeCell ref="E75:F75"/>
    <mergeCell ref="E22:F22"/>
    <mergeCell ref="E49:H49"/>
    <mergeCell ref="C69:D69"/>
    <mergeCell ref="E58:I58"/>
    <mergeCell ref="G28:I28"/>
    <mergeCell ref="C8:I8"/>
    <mergeCell ref="B82:D82"/>
    <mergeCell ref="G30:I30"/>
    <mergeCell ref="B14:I14"/>
    <mergeCell ref="B83:D83"/>
    <mergeCell ref="B1:I1"/>
    <mergeCell ref="B88:F88"/>
    <mergeCell ref="E59:I59"/>
    <mergeCell ref="C71:D71"/>
    <mergeCell ref="B68:F68"/>
    <mergeCell ref="E57:I57"/>
    <mergeCell ref="G27:I27"/>
    <mergeCell ref="E25:F25"/>
    <mergeCell ref="E54:I54"/>
    <mergeCell ref="B51:I51"/>
    <mergeCell ref="C12:I12"/>
    <mergeCell ref="G17:I17"/>
    <mergeCell ref="E66:F66"/>
    <mergeCell ref="E18:F18"/>
    <mergeCell ref="B35:I35"/>
    <mergeCell ref="E56:I56"/>
    <mergeCell ref="G19:I19"/>
    <mergeCell ref="E83:F83"/>
    <mergeCell ref="B78:D78"/>
    <mergeCell ref="B21:F21"/>
    <mergeCell ref="E20:F20"/>
    <mergeCell ref="E29:F29"/>
    <mergeCell ref="C75:D75"/>
    <mergeCell ref="B65:D65"/>
    <mergeCell ref="E69:F69"/>
    <mergeCell ref="E84:F84"/>
    <mergeCell ref="G29:I29"/>
    <mergeCell ref="E78:F78"/>
    <mergeCell ref="E31:F31"/>
    <mergeCell ref="E15:F15"/>
    <mergeCell ref="G22:I22"/>
    <mergeCell ref="B63:D63"/>
    <mergeCell ref="E80:F80"/>
    <mergeCell ref="C10:I10"/>
    <mergeCell ref="C70:D70"/>
    <mergeCell ref="E70:F70"/>
    <mergeCell ref="C32:D32"/>
    <mergeCell ref="C9:I9"/>
    <mergeCell ref="C38:D38"/>
    <mergeCell ref="E32:F32"/>
    <mergeCell ref="B66:D66"/>
    <mergeCell ref="E72:F72"/>
    <mergeCell ref="G23:I23"/>
    <mergeCell ref="E81:F81"/>
    <mergeCell ref="C11:I11"/>
    <mergeCell ref="B7:I7"/>
    <mergeCell ref="E24:F24"/>
    <mergeCell ref="C33:D33"/>
    <mergeCell ref="B40:K40"/>
    <mergeCell ref="B3:I3"/>
    <mergeCell ref="G18:I18"/>
    <mergeCell ref="C74:D74"/>
    <mergeCell ref="E17:F17"/>
    <mergeCell ref="E82:F82"/>
    <mergeCell ref="B77:F77"/>
    <mergeCell ref="E19:F19"/>
    <mergeCell ref="E28:F28"/>
    <mergeCell ref="B61:F61"/>
    <mergeCell ref="E74:F74"/>
    <mergeCell ref="B64:D64"/>
    <mergeCell ref="E30:F30"/>
    <mergeCell ref="B85:F86"/>
    <mergeCell ref="B79:D79"/>
    <mergeCell ref="B89:I92"/>
    <mergeCell ref="B81:D81"/>
    <mergeCell ref="C72:D72"/>
    <mergeCell ref="C37:D37"/>
    <mergeCell ref="E53:I53"/>
    <mergeCell ref="B26:F26"/>
  </mergeCells>
  <dataValidations count="1">
    <dataValidation sqref="D17 D18 D19 D22 D23 D24 D27 D28 D29 D30" showDropDown="0" showInputMessage="0" showErrorMessage="0" allowBlank="0" type="list">
      <formula1>"0,1,3"</formula1>
    </dataValidation>
  </dataValidations>
  <pageMargins left="0.2" right="0.2" top="0.2" bottom="0.2" header="0.1" footer="0.1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2026-10-30T17:19:33Z</dcterms:created>
  <dcterms:modified xsi:type="dcterms:W3CDTF">2026-10-30T17:19:35Z</dcterms:modified>
</cp:coreProperties>
</file>