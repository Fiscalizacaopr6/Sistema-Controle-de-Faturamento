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30.xml" ContentType="application/vnd.openxmlformats-officedocument.spreadsheetml.worksheet+xml"/>
  <Override PartName="/xl/worksheets/sheet13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63.xml" ContentType="application/vnd.openxmlformats-officedocument.spreadsheetml.worksheet+xml"/>
  <Override PartName="/xl/worksheets/sheet3.xml" ContentType="application/vnd.openxmlformats-officedocument.spreadsheetml.worksheet+xml"/>
  <Override PartName="/xl/worksheets/sheet6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59.xml" ContentType="application/vnd.openxmlformats-officedocument.spreadsheetml.worksheet+xml"/>
  <Override PartName="/xl/worksheets/sheet5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6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9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58.xml" ContentType="application/vnd.openxmlformats-officedocument.spreadsheetml.worksheet+xml"/>
  <Override PartName="/xl/worksheets/sheet14.xml" ContentType="application/vnd.openxmlformats-officedocument.spreadsheetml.worksheet+xml"/>
  <Override PartName="/xl/worksheets/sheet2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Dados" sheetId="2" state="visible" r:id="rId4"/>
    <sheet name="Resumo Geral" sheetId="3" state="visible" r:id="rId5"/>
    <sheet name="P01" sheetId="4" state="visible" r:id="rId6"/>
    <sheet name="P02" sheetId="5" state="visible" r:id="rId7"/>
    <sheet name="P03" sheetId="6" state="visible" r:id="rId8"/>
    <sheet name="P04" sheetId="7" state="visible" r:id="rId9"/>
    <sheet name="P05" sheetId="8" state="visible" r:id="rId10"/>
    <sheet name="P06" sheetId="9" state="visible" r:id="rId11"/>
    <sheet name="P07" sheetId="10" state="visible" r:id="rId12"/>
    <sheet name="P08" sheetId="11" state="visible" r:id="rId13"/>
    <sheet name="P09" sheetId="12" state="visible" r:id="rId14"/>
    <sheet name="P10" sheetId="13" state="visible" r:id="rId15"/>
    <sheet name="P11" sheetId="14" state="visible" r:id="rId16"/>
    <sheet name="P12" sheetId="15" state="visible" r:id="rId17"/>
    <sheet name="P13" sheetId="16" state="visible" r:id="rId18"/>
    <sheet name="P14" sheetId="17" state="visible" r:id="rId19"/>
    <sheet name="P15" sheetId="18" state="visible" r:id="rId20"/>
    <sheet name="P16" sheetId="19" state="visible" r:id="rId21"/>
    <sheet name="P17" sheetId="20" state="visible" r:id="rId22"/>
    <sheet name="P18" sheetId="21" state="visible" r:id="rId23"/>
    <sheet name="P19" sheetId="22" state="visible" r:id="rId24"/>
    <sheet name="P20" sheetId="23" state="visible" r:id="rId25"/>
    <sheet name="P21" sheetId="24" state="visible" r:id="rId26"/>
    <sheet name="P22" sheetId="25" state="visible" r:id="rId27"/>
    <sheet name="P23" sheetId="26" state="visible" r:id="rId28"/>
    <sheet name="P24" sheetId="27" state="visible" r:id="rId29"/>
    <sheet name="P25" sheetId="28" state="visible" r:id="rId30"/>
    <sheet name="P26" sheetId="29" state="visible" r:id="rId31"/>
    <sheet name="P27" sheetId="30" state="visible" r:id="rId32"/>
    <sheet name="P28" sheetId="31" state="visible" r:id="rId33"/>
    <sheet name="P29" sheetId="32" state="visible" r:id="rId34"/>
    <sheet name="P30" sheetId="33" state="visible" r:id="rId35"/>
    <sheet name="P31" sheetId="34" state="visible" r:id="rId36"/>
    <sheet name="P32" sheetId="35" state="visible" r:id="rId37"/>
    <sheet name="P33" sheetId="36" state="visible" r:id="rId38"/>
    <sheet name="P34" sheetId="37" state="visible" r:id="rId39"/>
    <sheet name="P35" sheetId="38" state="visible" r:id="rId40"/>
    <sheet name="P36" sheetId="39" state="visible" r:id="rId41"/>
    <sheet name="P37" sheetId="40" state="visible" r:id="rId42"/>
    <sheet name="P38" sheetId="41" state="visible" r:id="rId43"/>
    <sheet name="P39" sheetId="42" state="visible" r:id="rId44"/>
    <sheet name="P40" sheetId="43" state="visible" r:id="rId45"/>
    <sheet name="P41" sheetId="44" state="visible" r:id="rId46"/>
    <sheet name="P42" sheetId="45" state="visible" r:id="rId47"/>
    <sheet name="P43" sheetId="46" state="visible" r:id="rId48"/>
    <sheet name="P44" sheetId="47" state="visible" r:id="rId49"/>
    <sheet name="P45" sheetId="48" state="visible" r:id="rId50"/>
    <sheet name="P46" sheetId="49" state="visible" r:id="rId51"/>
    <sheet name="P47" sheetId="50" state="visible" r:id="rId52"/>
    <sheet name="P48" sheetId="51" state="visible" r:id="rId53"/>
    <sheet name="P49" sheetId="52" state="visible" r:id="rId54"/>
    <sheet name="P50" sheetId="53" state="visible" r:id="rId55"/>
    <sheet name="P51" sheetId="54" state="visible" r:id="rId56"/>
    <sheet name="P52" sheetId="55" state="visible" r:id="rId57"/>
    <sheet name="P53" sheetId="56" state="visible" r:id="rId58"/>
    <sheet name="P54" sheetId="57" state="visible" r:id="rId59"/>
    <sheet name="P55" sheetId="58" state="visible" r:id="rId60"/>
    <sheet name="P56" sheetId="59" state="visible" r:id="rId61"/>
    <sheet name="P57" sheetId="60" state="visible" r:id="rId62"/>
    <sheet name="P58" sheetId="61" state="visible" r:id="rId63"/>
    <sheet name="P59" sheetId="62" state="visible" r:id="rId64"/>
    <sheet name="P60" sheetId="63" state="visible" r:id="rId65"/>
  </sheets>
  <definedNames>
    <definedName function="false" hidden="false" localSheetId="1" name="_xlnm.Print_Area" vbProcedure="false">Dados!$A$1:$F$56</definedName>
    <definedName function="false" hidden="false" localSheetId="1" name="_xlnm.Print_Titles" vbProcedure="false">Dados!$1:$2</definedName>
    <definedName function="false" hidden="false" localSheetId="0" name="_xlnm.Print_Area" vbProcedure="false">Instruções!$A$1:$C$46</definedName>
    <definedName function="false" hidden="false" localSheetId="0" name="_xlnm.Print_Titles" vbProcedure="false">Instruções!$1:$2</definedName>
    <definedName function="false" hidden="false" localSheetId="3" name="_xlnm.Print_Area" vbProcedure="false">P01!$A$1:$J$107</definedName>
    <definedName function="false" hidden="false" localSheetId="4" name="_xlnm.Print_Area" vbProcedure="false">P02!$A$1:$J$107</definedName>
    <definedName function="false" hidden="false" localSheetId="5" name="_xlnm.Print_Area" vbProcedure="false">P03!$A$1:$J$107</definedName>
    <definedName function="false" hidden="false" localSheetId="6" name="_xlnm.Print_Area" vbProcedure="false">P04!$A$1:$J$107</definedName>
    <definedName function="false" hidden="false" localSheetId="7" name="_xlnm.Print_Area" vbProcedure="false">P05!$A$1:$J$107</definedName>
    <definedName function="false" hidden="false" localSheetId="8" name="_xlnm.Print_Area" vbProcedure="false">P06!$A$1:$J$107</definedName>
    <definedName function="false" hidden="false" localSheetId="9" name="_xlnm.Print_Area" vbProcedure="false">P07!$A$1:$J$107</definedName>
    <definedName function="false" hidden="false" localSheetId="10" name="_xlnm.Print_Area" vbProcedure="false">P08!$A$1:$J$107</definedName>
    <definedName function="false" hidden="false" localSheetId="11" name="_xlnm.Print_Area" vbProcedure="false">P09!$A$1:$J$107</definedName>
    <definedName function="false" hidden="false" localSheetId="12" name="_xlnm.Print_Area" vbProcedure="false">P10!$A$1:$J$107</definedName>
    <definedName function="false" hidden="false" localSheetId="13" name="_xlnm.Print_Area" vbProcedure="false">P11!$A$1:$J$107</definedName>
    <definedName function="false" hidden="false" localSheetId="14" name="_xlnm.Print_Area" vbProcedure="false">P12!$A$1:$J$107</definedName>
    <definedName function="false" hidden="false" localSheetId="15" name="_xlnm.Print_Area" vbProcedure="false">P13!$A$1:$J$107</definedName>
    <definedName function="false" hidden="false" localSheetId="16" name="_xlnm.Print_Area" vbProcedure="false">P14!$A$1:$J$107</definedName>
    <definedName function="false" hidden="false" localSheetId="17" name="_xlnm.Print_Area" vbProcedure="false">P15!$A$1:$J$107</definedName>
    <definedName function="false" hidden="false" localSheetId="18" name="_xlnm.Print_Area" vbProcedure="false">P16!$A$1:$J$107</definedName>
    <definedName function="false" hidden="false" localSheetId="19" name="_xlnm.Print_Area" vbProcedure="false">P17!$A$1:$J$107</definedName>
    <definedName function="false" hidden="false" localSheetId="20" name="_xlnm.Print_Area" vbProcedure="false">P18!$A$1:$J$107</definedName>
    <definedName function="false" hidden="false" localSheetId="21" name="_xlnm.Print_Area" vbProcedure="false">P19!$A$1:$J$107</definedName>
    <definedName function="false" hidden="false" localSheetId="22" name="_xlnm.Print_Area" vbProcedure="false">P20!$A$1:$J$107</definedName>
    <definedName function="false" hidden="false" localSheetId="23" name="_xlnm.Print_Area" vbProcedure="false">P21!$A$1:$J$107</definedName>
    <definedName function="false" hidden="false" localSheetId="24" name="_xlnm.Print_Area" vbProcedure="false">P22!$A$1:$J$107</definedName>
    <definedName function="false" hidden="false" localSheetId="25" name="_xlnm.Print_Area" vbProcedure="false">P23!$A$1:$J$107</definedName>
    <definedName function="false" hidden="false" localSheetId="26" name="_xlnm.Print_Area" vbProcedure="false">P24!$A$1:$J$107</definedName>
    <definedName function="false" hidden="false" localSheetId="27" name="_xlnm.Print_Area" vbProcedure="false">P25!$A$1:$J$107</definedName>
    <definedName function="false" hidden="false" localSheetId="28" name="_xlnm.Print_Area" vbProcedure="false">P26!$A$1:$J$107</definedName>
    <definedName function="false" hidden="false" localSheetId="29" name="_xlnm.Print_Area" vbProcedure="false">P27!$A$1:$J$107</definedName>
    <definedName function="false" hidden="false" localSheetId="30" name="_xlnm.Print_Area" vbProcedure="false">P28!$A$1:$J$107</definedName>
    <definedName function="false" hidden="false" localSheetId="31" name="_xlnm.Print_Area" vbProcedure="false">P29!$A$1:$J$107</definedName>
    <definedName function="false" hidden="false" localSheetId="32" name="_xlnm.Print_Area" vbProcedure="false">P30!$A$1:$J$107</definedName>
    <definedName function="false" hidden="false" localSheetId="33" name="_xlnm.Print_Area" vbProcedure="false">P31!$A$1:$J$107</definedName>
    <definedName function="false" hidden="false" localSheetId="34" name="_xlnm.Print_Area" vbProcedure="false">P32!$A$1:$J$107</definedName>
    <definedName function="false" hidden="false" localSheetId="35" name="_xlnm.Print_Area" vbProcedure="false">P33!$A$1:$J$107</definedName>
    <definedName function="false" hidden="false" localSheetId="36" name="_xlnm.Print_Area" vbProcedure="false">P34!$A$1:$J$107</definedName>
    <definedName function="false" hidden="false" localSheetId="37" name="_xlnm.Print_Area" vbProcedure="false">P35!$A$1:$J$107</definedName>
    <definedName function="false" hidden="false" localSheetId="38" name="_xlnm.Print_Area" vbProcedure="false">P36!$A$1:$J$107</definedName>
    <definedName function="false" hidden="false" localSheetId="39" name="_xlnm.Print_Area" vbProcedure="false">P37!$A$1:$J$107</definedName>
    <definedName function="false" hidden="false" localSheetId="40" name="_xlnm.Print_Area" vbProcedure="false">P38!$A$1:$J$107</definedName>
    <definedName function="false" hidden="false" localSheetId="41" name="_xlnm.Print_Area" vbProcedure="false">P39!$A$1:$J$107</definedName>
    <definedName function="false" hidden="false" localSheetId="42" name="_xlnm.Print_Area" vbProcedure="false">P40!$A$1:$J$107</definedName>
    <definedName function="false" hidden="false" localSheetId="43" name="_xlnm.Print_Area" vbProcedure="false">P41!$A$1:$J$107</definedName>
    <definedName function="false" hidden="false" localSheetId="44" name="_xlnm.Print_Area" vbProcedure="false">P42!$A$1:$J$107</definedName>
    <definedName function="false" hidden="false" localSheetId="45" name="_xlnm.Print_Area" vbProcedure="false">P43!$A$1:$J$107</definedName>
    <definedName function="false" hidden="false" localSheetId="46" name="_xlnm.Print_Area" vbProcedure="false">P44!$A$1:$J$107</definedName>
    <definedName function="false" hidden="false" localSheetId="47" name="_xlnm.Print_Area" vbProcedure="false">P45!$A$1:$J$107</definedName>
    <definedName function="false" hidden="false" localSheetId="48" name="_xlnm.Print_Area" vbProcedure="false">P46!$A$1:$J$107</definedName>
    <definedName function="false" hidden="false" localSheetId="49" name="_xlnm.Print_Area" vbProcedure="false">P47!$A$1:$J$107</definedName>
    <definedName function="false" hidden="false" localSheetId="50" name="_xlnm.Print_Area" vbProcedure="false">P48!$A$1:$J$107</definedName>
    <definedName function="false" hidden="false" localSheetId="51" name="_xlnm.Print_Area" vbProcedure="false">P49!$A$1:$J$107</definedName>
    <definedName function="false" hidden="false" localSheetId="52" name="_xlnm.Print_Area" vbProcedure="false">P50!$A$1:$J$107</definedName>
    <definedName function="false" hidden="false" localSheetId="53" name="_xlnm.Print_Area" vbProcedure="false">P51!$A$1:$J$107</definedName>
    <definedName function="false" hidden="false" localSheetId="54" name="_xlnm.Print_Area" vbProcedure="false">P52!$A$1:$J$107</definedName>
    <definedName function="false" hidden="false" localSheetId="55" name="_xlnm.Print_Area" vbProcedure="false">P53!$A$1:$J$107</definedName>
    <definedName function="false" hidden="false" localSheetId="56" name="_xlnm.Print_Area" vbProcedure="false">P54!$A$1:$J$107</definedName>
    <definedName function="false" hidden="false" localSheetId="57" name="_xlnm.Print_Area" vbProcedure="false">P55!$A$1:$J$107</definedName>
    <definedName function="false" hidden="false" localSheetId="58" name="_xlnm.Print_Area" vbProcedure="false">P56!$A$1:$J$107</definedName>
    <definedName function="false" hidden="false" localSheetId="59" name="_xlnm.Print_Area" vbProcedure="false">P57!$A$1:$J$107</definedName>
    <definedName function="false" hidden="false" localSheetId="60" name="_xlnm.Print_Area" vbProcedure="false">P58!$A$1:$J$107</definedName>
    <definedName function="false" hidden="false" localSheetId="61" name="_xlnm.Print_Area" vbProcedure="false">P59!$A$1:$J$107</definedName>
    <definedName function="false" hidden="false" localSheetId="62" name="_xlnm.Print_Area" vbProcedure="false">P60!$A$1:$J$107</definedName>
    <definedName function="false" hidden="false" localSheetId="2" name="_xlnm.Print_Area" vbProcedure="false">'Resumo Geral'!$A$1:$L$64</definedName>
    <definedName function="false" hidden="false" localSheetId="2" name="_xlnm.Print_Titles" vbProcedure="false">'Resumo Geral'!$1:$2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<sst xmlns="http://schemas.openxmlformats.org/spreadsheetml/2006/main" count="4836" uniqueCount="334">
  <si>
    <t xml:space="preserve">IMR Angels – Contrato 04/24 – CBAE</t>
  </si>
  <si>
    <t xml:space="preserve">Instrumento de Medição de Resultado – versão Excel, 60 períodos (equivalente ao formulário web da PR-6)</t>
  </si>
  <si>
    <t xml:space="preserve">ESTRUTURA DA PASTA DE TRABALHO</t>
  </si>
  <si>
    <t xml:space="preserve">Dados</t>
  </si>
  <si>
    <t xml:space="preserve">Contrato, unidade, contratada, fiscal, período inicial, postos contratados, valores de creche, pesos dos critérios e faixa de ajuste. Tudo o que é preenchido aqui vale para as 60 abas.</t>
  </si>
  <si>
    <t xml:space="preserve">Resumo Geral</t>
  </si>
  <si>
    <t xml:space="preserve">Consolida período, nota, conceito, %, glosa, creche e valor aprovado dos 60 períodos (equivale à exportação CSV do formulário web).</t>
  </si>
  <si>
    <t xml:space="preserve">P01 … P60</t>
  </si>
  <si>
    <t xml:space="preserve">Uma aba por período (mês), com avaliação de desempenho, postos de trabalho, instrumento de cobrança, resumo financeiro, reembolso de creche, assinaturas e justificativas.</t>
  </si>
  <si>
    <t xml:space="preserve">COMO PREENCHER</t>
  </si>
  <si>
    <t xml:space="preserve">1. Aba Dados – identificação</t>
  </si>
  <si>
    <t xml:space="preserve">Contrato, unidade, contratada, fiscal operacional e o PERÍODO INICIAL (ex.: 01/05/2024). As abas P01…P60 recebem os meses seguintes automaticamente, como a propagação de períodos do formulário web.</t>
  </si>
  <si>
    <t xml:space="preserve">2. Aba Dados – postos</t>
  </si>
  <si>
    <t xml:space="preserve">Liste os postos com Item, Nome, Qtde Contratada e Valor Unitário Contratado. Eles são replicados nas 60 abas. A linha 12 traz um exemplo: substitua-a.</t>
  </si>
  <si>
    <t xml:space="preserve">3. Em cada aba Pxx</t>
  </si>
  <si>
    <t xml:space="preserve">Escolha a NOTA de cada critério (lista suspensa 0, 1 ou 3), informe as HORAS SEM COBERTURA de cada posto, os DIAS TRABALHADOS (apenas em mês parcial) e os dados de creche do mês.</t>
  </si>
  <si>
    <t xml:space="preserve">4. Justificativas</t>
  </si>
  <si>
    <t xml:space="preserve">Notas 0 ou 1 geram aviso na linha do critério e ao final da aba; a justificativa é obrigatória.</t>
  </si>
  <si>
    <t xml:space="preserve">5. Assinaturas</t>
  </si>
  <si>
    <t xml:space="preserve">Nome e matrícula dos fiscais, nome e cargo do representante da contratada e data da aprovação.</t>
  </si>
  <si>
    <t xml:space="preserve">CÁLCULOS – idênticos ao formulário web</t>
  </si>
  <si>
    <t xml:space="preserve">Subtotal do critério</t>
  </si>
  <si>
    <t xml:space="preserve">Peso (a) × Nota (b)</t>
  </si>
  <si>
    <t xml:space="preserve">Nota Final</t>
  </si>
  <si>
    <t xml:space="preserve">Soma dos totais dos Grupos 1, 2 e 3 (máximo 9,00)</t>
  </si>
  <si>
    <t xml:space="preserve">Conceito e % liberado</t>
  </si>
  <si>
    <t xml:space="preserve">Faixa de ajuste: A = 100% (9,00 a 8,10), B = 95% (8,09 a 7,65), C = 90% (7,64 a 6,75), D = 85% (6,74 a 5,85), E = 80% (5,84 a 5,40), F = 75% (abaixo de 5,40)</t>
  </si>
  <si>
    <t xml:space="preserve">Horas Contratadas</t>
  </si>
  <si>
    <t xml:space="preserve">Qtde Contratada × 220</t>
  </si>
  <si>
    <t xml:space="preserve">Valor da Hora Contratada</t>
  </si>
  <si>
    <t xml:space="preserve">Valor Unitário ÷ 220, truncado em 2 casas</t>
  </si>
  <si>
    <t xml:space="preserve">Valor do Item após Descontos</t>
  </si>
  <si>
    <t xml:space="preserve">((Qtde × Valor Unit.) − Valor da Hora × Horas sem Cobertura) ÷ 30 × Dias para Cálculo × % do Faturamento — truncado em 2 casas e nunca negativo</t>
  </si>
  <si>
    <t xml:space="preserve">Dias para Cálculo</t>
  </si>
  <si>
    <t xml:space="preserve">Mês cheio = 30 avos (inclusive em fevereiro e meses de 31 dias); mês parcial = dias trabalhados informados</t>
  </si>
  <si>
    <t xml:space="preserve">Mensal Contratado (por posto)</t>
  </si>
  <si>
    <t xml:space="preserve">Qtde × Valor Unitário, truncado em 2 casas (coluna de conferência; a soma é o Contratado Mensal do resumo financeiro)</t>
  </si>
  <si>
    <t xml:space="preserve">Valor Unit. Faturado (instrumento de cobrança)</t>
  </si>
  <si>
    <t xml:space="preserve">Valor do Item após Descontos ÷ Qtde Faturada, truncado em 2 casas</t>
  </si>
  <si>
    <t xml:space="preserve">Valor Glosado por Qualidade</t>
  </si>
  <si>
    <t xml:space="preserve">Contratado Mensal − (Contratado Mensal × % do Faturamento)</t>
  </si>
  <si>
    <t xml:space="preserve">Valor Aprovado para Pagamento</t>
  </si>
  <si>
    <t xml:space="preserve">Σ Valor dos Itens após Descontos + Valor Total dos Reembolsos de Creche</t>
  </si>
  <si>
    <t xml:space="preserve">Total dos Reembolsos de Creche</t>
  </si>
  <si>
    <t xml:space="preserve">Reembolsos Aprovados × Reembolso por dependente, truncado em 2 casas</t>
  </si>
  <si>
    <t xml:space="preserve">Saldo de Reembolso de Creche</t>
  </si>
  <si>
    <t xml:space="preserve">Acumulado: saldo da aba anterior + Retido − Total dos Reembolsos. Saldo negativo exibe o aviso de aditivo contratual.</t>
  </si>
  <si>
    <t xml:space="preserve">LEGENDA DE CORES</t>
  </si>
  <si>
    <t xml:space="preserve">Fundo amarelo com texto azul</t>
  </si>
  <si>
    <t xml:space="preserve">Campo de preenchimento manual</t>
  </si>
  <si>
    <t xml:space="preserve">Fundo verde claro</t>
  </si>
  <si>
    <t xml:space="preserve">Valor calculado por fórmula – não editar</t>
  </si>
  <si>
    <t xml:space="preserve">Texto verde</t>
  </si>
  <si>
    <t xml:space="preserve">Valor trazido da aba Dados</t>
  </si>
  <si>
    <t xml:space="preserve">Azul escuro / azul</t>
  </si>
  <si>
    <t xml:space="preserve">Títulos e cabeçalhos</t>
  </si>
  <si>
    <t xml:space="preserve">Vermelho</t>
  </si>
  <si>
    <t xml:space="preserve">Glosa, saldo negativo e avisos de justificativa</t>
  </si>
  <si>
    <t xml:space="preserve">Bege (Grupo 3)</t>
  </si>
  <si>
    <t xml:space="preserve">Critério preenchido pelo Fiscal Administrativo (¹)</t>
  </si>
  <si>
    <t xml:space="preserve">EQUIVALÊNCIA COM OS RECURSOS DO FORMULÁRIO WEB</t>
  </si>
  <si>
    <t xml:space="preserve">Travar formulário (senha)</t>
  </si>
  <si>
    <t xml:space="preserve">Revisão ▸ Proteger Planilha, com senha. Os campos de preenchimento já estão desbloqueados: a proteção trava apenas fórmulas, postos e dados do contrato.</t>
  </si>
  <si>
    <t xml:space="preserve">Salvamento automático e sincronização entre computadores</t>
  </si>
  <si>
    <t xml:space="preserve">Salve a pasta no OneDrive, SharePoint ou Google Drive: o salvamento automático e a edição simultânea passam a valer para todos os usuários.</t>
  </si>
  <si>
    <t xml:space="preserve">Salvar PDF da aba</t>
  </si>
  <si>
    <t xml:space="preserve">Arquivo ▸ Exportar ▸ PDF. Cada aba já está configurada para caber em 1 folha A4.</t>
  </si>
  <si>
    <t xml:space="preserve">Exportação CSV</t>
  </si>
  <si>
    <t xml:space="preserve">Aba Resumo Geral ▸ Arquivo ▸ Salvar como ▸ CSV.</t>
  </si>
  <si>
    <t xml:space="preserve">Validação das notas</t>
  </si>
  <si>
    <t xml:space="preserve">Lista suspensa com 0, 1 e 3 em cada critério; outros valores são recusados.</t>
  </si>
  <si>
    <t xml:space="preserve">Gerado a partir do formulário "Modelo IMR Vigilância Definitivo V2 Com CRECHE – PR6" (versão 60 períodos) por gen_imr_excel.py.</t>
  </si>
  <si>
    <t xml:space="preserve">DADOS DO CONTRATO – compartilhados pelas 60 abas de período</t>
  </si>
  <si>
    <t xml:space="preserve">CONTRATO Nº:</t>
  </si>
  <si>
    <t xml:space="preserve">04/24</t>
  </si>
  <si>
    <t xml:space="preserve">UNIDADE:</t>
  </si>
  <si>
    <t xml:space="preserve">CBAE</t>
  </si>
  <si>
    <t xml:space="preserve">CONTRATADA:</t>
  </si>
  <si>
    <t xml:space="preserve">Angels</t>
  </si>
  <si>
    <t xml:space="preserve">FISCAL OPERACIONAL:</t>
  </si>
  <si>
    <t xml:space="preserve">OBSERVAÇÃO DO CABEÇALHO:</t>
  </si>
  <si>
    <t xml:space="preserve">Atualizado conforme Valor Unitário Contratado inicial</t>
  </si>
  <si>
    <t xml:space="preserve">PERÍODO INICIAL (1ª aba – P01):</t>
  </si>
  <si>
    <t xml:space="preserve">Digite qualquer dia do mês inicial (ex.: 01/05/2024). As abas P01…P60 recebem os meses seguintes automaticamente.</t>
  </si>
  <si>
    <t xml:space="preserve">POSTOS DE TRABALHO CONTRATADOS (replicados em todas as abas)</t>
  </si>
  <si>
    <t xml:space="preserve">Item</t>
  </si>
  <si>
    <t xml:space="preserve">POSTO</t>
  </si>
  <si>
    <t xml:space="preserve">Qtde Contratada</t>
  </si>
  <si>
    <t xml:space="preserve">Valor Unit. Contratado (R$)</t>
  </si>
  <si>
    <t xml:space="preserve">Observação / fonte do valor</t>
  </si>
  <si>
    <t xml:space="preserve">Vigilante Diurno 12x36 (exemplo)</t>
  </si>
  <si>
    <t xml:space="preserve">LINHA DE EXEMPLO – substitua pelos postos e valores do contrato</t>
  </si>
  <si>
    <t xml:space="preserve">CONTRATADO MENSAL – TOTAL (conferência)</t>
  </si>
  <si>
    <t xml:space="preserve">REEMBOLSO DE CRECHE – valores padrão das abas</t>
  </si>
  <si>
    <t xml:space="preserve">Valor Reembolso Creche Retido (R$) por mês</t>
  </si>
  <si>
    <t xml:space="preserve">Reembolso por dependente (R$)</t>
  </si>
  <si>
    <t xml:space="preserve">Entram em todas as abas e podem ser ajustados mês a mês dentro de cada aba.</t>
  </si>
  <si>
    <t xml:space="preserve">CRITÉRIOS E PESOS DA AVALIAÇÃO</t>
  </si>
  <si>
    <t xml:space="preserve">ID</t>
  </si>
  <si>
    <t xml:space="preserve">Critério de Avaliação</t>
  </si>
  <si>
    <t xml:space="preserve">Peso (a)</t>
  </si>
  <si>
    <t xml:space="preserve">Grupo</t>
  </si>
  <si>
    <t xml:space="preserve">g1_1</t>
  </si>
  <si>
    <t xml:space="preserve">Cumprimento das Atividades</t>
  </si>
  <si>
    <t xml:space="preserve">g1_2</t>
  </si>
  <si>
    <t xml:space="preserve">Qualificação / Atendimento ao Público / Postura</t>
  </si>
  <si>
    <t xml:space="preserve">g1_3</t>
  </si>
  <si>
    <t xml:space="preserve">Uniformes e Identificação</t>
  </si>
  <si>
    <t xml:space="preserve">g2_1</t>
  </si>
  <si>
    <t xml:space="preserve">Especificação Técnica dos Serviços</t>
  </si>
  <si>
    <t xml:space="preserve">g2_2</t>
  </si>
  <si>
    <t xml:space="preserve">Equipamentos e Acessórios</t>
  </si>
  <si>
    <t xml:space="preserve">g2_3</t>
  </si>
  <si>
    <t xml:space="preserve">Atendimento às Ocorrências</t>
  </si>
  <si>
    <t xml:space="preserve">g3_1</t>
  </si>
  <si>
    <t xml:space="preserve">Periodicidade da Supervisão</t>
  </si>
  <si>
    <t xml:space="preserve">g3_2</t>
  </si>
  <si>
    <t xml:space="preserve">Gerenciamento das Atividades Operacionais</t>
  </si>
  <si>
    <t xml:space="preserve">g3_3</t>
  </si>
  <si>
    <t xml:space="preserve">Atendimento às Solicitações</t>
  </si>
  <si>
    <t xml:space="preserve">g3_4</t>
  </si>
  <si>
    <t xml:space="preserve">Salários, Benefícios e Obrigações Trabalhistas (¹ Fiscal Adm.)</t>
  </si>
  <si>
    <t xml:space="preserve">SOMA DOS PESOS (deve ser 3,00 = 1,00 por grupo)</t>
  </si>
  <si>
    <t xml:space="preserve">FAIXA DE AJUSTE DE PAGAMENTO</t>
  </si>
  <si>
    <t xml:space="preserve">Nota Mínima</t>
  </si>
  <si>
    <t xml:space="preserve">Conceito</t>
  </si>
  <si>
    <t xml:space="preserve">% do Faturamento a ser Pago</t>
  </si>
  <si>
    <t xml:space="preserve">Nota Média Mensal Apurada</t>
  </si>
  <si>
    <t xml:space="preserve">F</t>
  </si>
  <si>
    <t xml:space="preserve">Abaixo de 5,40</t>
  </si>
  <si>
    <t xml:space="preserve">E</t>
  </si>
  <si>
    <t xml:space="preserve">Entre 5,84 e 5,40</t>
  </si>
  <si>
    <t xml:space="preserve">D</t>
  </si>
  <si>
    <t xml:space="preserve">Entre 6,74 e 5,85</t>
  </si>
  <si>
    <t xml:space="preserve">C</t>
  </si>
  <si>
    <t xml:space="preserve">Entre 7,64 e 6,75</t>
  </si>
  <si>
    <t xml:space="preserve">B</t>
  </si>
  <si>
    <t xml:space="preserve">Entre 8,09 e 7,65</t>
  </si>
  <si>
    <t xml:space="preserve">A</t>
  </si>
  <si>
    <t xml:space="preserve">Entre 9,00 e 8,10</t>
  </si>
  <si>
    <t xml:space="preserve">Ordem crescente de nota mínima: é assim que as abas localizam o conceito e o % a liberar (INDEX/MATCH). Não reordene as linhas.</t>
  </si>
  <si>
    <t xml:space="preserve">RESUMO GERAL DOS 60 PERÍODOS</t>
  </si>
  <si>
    <t xml:space="preserve">Aba</t>
  </si>
  <si>
    <t xml:space="preserve">Período</t>
  </si>
  <si>
    <t xml:space="preserve">% Liberado</t>
  </si>
  <si>
    <t xml:space="preserve">Dias Trab.</t>
  </si>
  <si>
    <t xml:space="preserve">Contratado Mensal (R$)</t>
  </si>
  <si>
    <t xml:space="preserve">Glosa por Qualidade (R$)</t>
  </si>
  <si>
    <t xml:space="preserve">Itens após Descontos (R$)</t>
  </si>
  <si>
    <t xml:space="preserve">Reembolsos Creche (R$)</t>
  </si>
  <si>
    <t xml:space="preserve">Saldo Creche (R$)</t>
  </si>
  <si>
    <t xml:space="preserve">Valor Aprovado (R$)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</si>
  <si>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</si>
  <si>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</si>
  <si>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</si>
  <si>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</si>
  <si>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</si>
  <si>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</si>
  <si>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</si>
  <si>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</si>
  <si>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</si>
  <si>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</si>
  <si>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</si>
  <si>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</si>
  <si>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</si>
  <si>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</si>
  <si>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</si>
  <si>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</si>
  <si>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</si>
  <si>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</si>
  <si>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</si>
  <si>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</si>
  <si>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</si>
  <si>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</si>
  <si>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</si>
  <si>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</si>
  <si>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P25</t>
  </si>
  <si>
    <t xml:space="preserve">P26</t>
  </si>
  <si>
    <t xml:space="preserve">P27</t>
  </si>
  <si>
    <t xml:space="preserve">P28</t>
  </si>
  <si>
    <t xml:space="preserve">P29</t>
  </si>
  <si>
    <t xml:space="preserve">P30</t>
  </si>
  <si>
    <t xml:space="preserve">P31</t>
  </si>
  <si>
    <t xml:space="preserve">P32</t>
  </si>
  <si>
    <t xml:space="preserve">P33</t>
  </si>
  <si>
    <t xml:space="preserve">P34</t>
  </si>
  <si>
    <t xml:space="preserve">P35</t>
  </si>
  <si>
    <t xml:space="preserve">P36</t>
  </si>
  <si>
    <t xml:space="preserve">P37</t>
  </si>
  <si>
    <t xml:space="preserve">P38</t>
  </si>
  <si>
    <t xml:space="preserve">P39</t>
  </si>
  <si>
    <t xml:space="preserve">P40</t>
  </si>
  <si>
    <t xml:space="preserve">P41</t>
  </si>
  <si>
    <t xml:space="preserve">P42</t>
  </si>
  <si>
    <t xml:space="preserve">P43</t>
  </si>
  <si>
    <t xml:space="preserve">P44</t>
  </si>
  <si>
    <t xml:space="preserve">P45</t>
  </si>
  <si>
    <t xml:space="preserve">P46</t>
  </si>
  <si>
    <t xml:space="preserve">P47</t>
  </si>
  <si>
    <t xml:space="preserve">P48</t>
  </si>
  <si>
    <t xml:space="preserve">P49</t>
  </si>
  <si>
    <t xml:space="preserve">P50</t>
  </si>
  <si>
    <t xml:space="preserve">P51</t>
  </si>
  <si>
    <t xml:space="preserve">P52</t>
  </si>
  <si>
    <t xml:space="preserve">P53</t>
  </si>
  <si>
    <t xml:space="preserve">P54</t>
  </si>
  <si>
    <t xml:space="preserve">P55</t>
  </si>
  <si>
    <t xml:space="preserve">P56</t>
  </si>
  <si>
    <t xml:space="preserve">P57</t>
  </si>
  <si>
    <t xml:space="preserve">P58</t>
  </si>
  <si>
    <t xml:space="preserve">P59</t>
  </si>
  <si>
    <t xml:space="preserve">P60</t>
  </si>
  <si>
    <t xml:space="preserve">TOTAIS DO CONTRATO</t>
  </si>
  <si>
    <t xml:space="preserve">Saldo de Creche: valor acumulado do último período (não é soma). Linhas em vermelho indicam saldo negativo — exige aditivo contratual.</t>
  </si>
  <si>
    <t xml:space="preserve">UFRJ – PRÓ-REITORIA DE GESTÃO E GOVERNANÇA – PR6   |   IMR</t>
  </si>
  <si>
    <t xml:space="preserve">INSTRUMENTO DE MEDIÇÃO DE RESULTADO</t>
  </si>
  <si>
    <t xml:space="preserve">AVALIAÇÃO REFERENTE AO PERÍODO:</t>
  </si>
  <si>
    <t xml:space="preserve">PERÍODO (ABA) Nº:</t>
  </si>
  <si>
    <t xml:space="preserve">1 de 60</t>
  </si>
  <si>
    <t xml:space="preserve">⚠ Para notas 0 e 1 o campo JUSTIFICATIVAS (fim da aba) é de preenchimento obrigatório.   |   Contrato, Unidade, Contratada e Postos são compartilhados por todas as abas (aba Dados).</t>
  </si>
  <si>
    <t xml:space="preserve">AVALIAÇÃO DE DESEMPENHO</t>
  </si>
  <si>
    <t xml:space="preserve">PESO (a)</t>
  </si>
  <si>
    <t xml:space="preserve">NOTA (b)
(0, 1 ou 3)</t>
  </si>
  <si>
    <t xml:space="preserve">SUBTOTAL
(c = a × b)</t>
  </si>
  <si>
    <t xml:space="preserve">Status</t>
  </si>
  <si>
    <t xml:space="preserve">Aviso de Justificativa</t>
  </si>
  <si>
    <t xml:space="preserve">▶ GRUPO 1 – DESEMPENHO PROFISSIONAL</t>
  </si>
  <si>
    <t xml:space="preserve">TOTAL GRUPO 1</t>
  </si>
  <si>
    <t xml:space="preserve">▶ GRUPO 2 – DESEMPENHO DAS ATIVIDADES</t>
  </si>
  <si>
    <t xml:space="preserve">TOTAL GRUPO 2</t>
  </si>
  <si>
    <t xml:space="preserve">▶ GRUPO 3 – GERENCIAMENTO</t>
  </si>
  <si>
    <t xml:space="preserve">TOTAL GRUPO 3</t>
  </si>
  <si>
    <t xml:space="preserve">NOTA FINAL (somatório dos Grupos 1, 2 e 3)</t>
  </si>
  <si>
    <t xml:space="preserve">Conceito:</t>
  </si>
  <si>
    <t xml:space="preserve">(¹) Grupo 3 – Salários/Benefícios/Obrigações Trabalhistas: preenchido pelo Fiscal Administrativo</t>
  </si>
  <si>
    <t xml:space="preserve">POSTOS DE TRABALHO</t>
  </si>
  <si>
    <t xml:space="preserve">Qtde
Contratada</t>
  </si>
  <si>
    <t xml:space="preserve">Valor Unit.
Contratado (R$)</t>
  </si>
  <si>
    <t xml:space="preserve">Horas
Contratadas</t>
  </si>
  <si>
    <t xml:space="preserve">Sem
Cobertura (h)</t>
  </si>
  <si>
    <t xml:space="preserve">Valor da Hora
Contratada (R$)</t>
  </si>
  <si>
    <t xml:space="preserve">Valor do Item após
Descontos (R$)</t>
  </si>
  <si>
    <t xml:space="preserve">Mensal
Contratado (R$)</t>
  </si>
  <si>
    <t xml:space="preserve">TOTAIS</t>
  </si>
  <si>
    <t xml:space="preserve">📋 INSTRUMENTO DE COBRANÇA</t>
  </si>
  <si>
    <t xml:space="preserve">Posto</t>
  </si>
  <si>
    <t xml:space="preserve">Qtde Faturada</t>
  </si>
  <si>
    <t xml:space="preserve">Valor Unit. Faturado (R$)</t>
  </si>
  <si>
    <t xml:space="preserve">RESUMO FINANCEIRO</t>
  </si>
  <si>
    <t xml:space="preserve">Contratado Mensal – Total (R$)   (Σ Qtde × Valor Unitário de todos os postos)</t>
  </si>
  <si>
    <t xml:space="preserve">Nota Final Apurada</t>
  </si>
  <si>
    <t xml:space="preserve">Nota Atribuída pelo Avaliador (Conceito)</t>
  </si>
  <si>
    <t xml:space="preserve">% do Faturamento a ser Liberado</t>
  </si>
  <si>
    <t xml:space="preserve">Valor Glosado por QUALIDADE (R$)</t>
  </si>
  <si>
    <t xml:space="preserve">Número de Dias do Mês (calculado)</t>
  </si>
  <si>
    <t xml:space="preserve">Número de Dias Trabalhados no Mês</t>
  </si>
  <si>
    <t xml:space="preserve">Campo de preenchimento: altere apenas em mês parcial (início/fim de contrato)</t>
  </si>
  <si>
    <t xml:space="preserve">Dias para Cálculo (mês cheio = 30 avos)</t>
  </si>
  <si>
    <t xml:space="preserve">Soma dos Itens após Descontos (R$)</t>
  </si>
  <si>
    <t xml:space="preserve">VALOR APROVADO PARA PAGAMENTO (R$)   (Σ Itens após Descontos + Total dos Reembolsos de Creche)</t>
  </si>
  <si>
    <t xml:space="preserve">🏫 REEMBOLSO DE CRECHE</t>
  </si>
  <si>
    <t xml:space="preserve">Valor Reembolso Creche Retido (R$)</t>
  </si>
  <si>
    <t xml:space="preserve">Campo de preenchimento</t>
  </si>
  <si>
    <t xml:space="preserve">Reembolsos Aprovados (quantidade)</t>
  </si>
  <si>
    <t xml:space="preserve">Valor Total dos Reembolsos (R$)   (Aprovados × Reembolso por dependente)</t>
  </si>
  <si>
    <t xml:space="preserve">Saldo de Reembolso (R$)   (acumulado: saldo da aba anterior + Retido – Total)</t>
  </si>
  <si>
    <t xml:space="preserve">APROVAÇÃO E ASSINATURAS</t>
  </si>
  <si>
    <t xml:space="preserve">Fiscal Operacional</t>
  </si>
  <si>
    <t xml:space="preserve">Fiscal Administrativo (¹)</t>
  </si>
  <si>
    <t xml:space="preserve">Representante da Contratada</t>
  </si>
  <si>
    <t xml:space="preserve">Data da Aprovação</t>
  </si>
  <si>
    <t xml:space="preserve">Nome completo / Matrícula</t>
  </si>
  <si>
    <t xml:space="preserve">Nome completo / Cargo</t>
  </si>
  <si>
    <t xml:space="preserve">dd/mm/aaaa</t>
  </si>
  <si>
    <t xml:space="preserve">📝 JUSTIFICATIVAS (obrigatório para notas 0 e 1)</t>
  </si>
  <si>
    <t xml:space="preserve">2 de 60</t>
  </si>
  <si>
    <t xml:space="preserve">3 de 60</t>
  </si>
  <si>
    <t xml:space="preserve">4 de 60</t>
  </si>
  <si>
    <t xml:space="preserve">5 de 60</t>
  </si>
  <si>
    <t xml:space="preserve">6 de 60</t>
  </si>
  <si>
    <t xml:space="preserve">7 de 60</t>
  </si>
  <si>
    <t xml:space="preserve">8 de 60</t>
  </si>
  <si>
    <t xml:space="preserve">9 de 60</t>
  </si>
  <si>
    <t xml:space="preserve">10 de 60</t>
  </si>
  <si>
    <t xml:space="preserve">11 de 60</t>
  </si>
  <si>
    <t xml:space="preserve">12 de 60</t>
  </si>
  <si>
    <t xml:space="preserve">13 de 60</t>
  </si>
  <si>
    <t xml:space="preserve">14 de 60</t>
  </si>
  <si>
    <t xml:space="preserve">15 de 60</t>
  </si>
  <si>
    <t xml:space="preserve">16 de 60</t>
  </si>
  <si>
    <t xml:space="preserve">17 de 60</t>
  </si>
  <si>
    <t xml:space="preserve">18 de 60</t>
  </si>
  <si>
    <t xml:space="preserve">19 de 60</t>
  </si>
  <si>
    <t xml:space="preserve">20 de 60</t>
  </si>
  <si>
    <t xml:space="preserve">21 de 60</t>
  </si>
  <si>
    <t xml:space="preserve">22 de 60</t>
  </si>
  <si>
    <t xml:space="preserve">23 de 60</t>
  </si>
  <si>
    <t xml:space="preserve">24 de 60</t>
  </si>
  <si>
    <t xml:space="preserve">25 de 60</t>
  </si>
  <si>
    <t xml:space="preserve">26 de 60</t>
  </si>
  <si>
    <t xml:space="preserve">27 de 60</t>
  </si>
  <si>
    <t xml:space="preserve">28 de 60</t>
  </si>
  <si>
    <t xml:space="preserve">29 de 60</t>
  </si>
  <si>
    <t xml:space="preserve">30 de 60</t>
  </si>
  <si>
    <t xml:space="preserve">31 de 60</t>
  </si>
  <si>
    <t xml:space="preserve">32 de 60</t>
  </si>
  <si>
    <t xml:space="preserve">33 de 60</t>
  </si>
  <si>
    <t xml:space="preserve">34 de 60</t>
  </si>
  <si>
    <t xml:space="preserve">35 de 60</t>
  </si>
  <si>
    <t xml:space="preserve">36 de 60</t>
  </si>
  <si>
    <t xml:space="preserve">37 de 60</t>
  </si>
  <si>
    <t xml:space="preserve">38 de 60</t>
  </si>
  <si>
    <t xml:space="preserve">39 de 60</t>
  </si>
  <si>
    <t xml:space="preserve">40 de 60</t>
  </si>
  <si>
    <t xml:space="preserve">41 de 60</t>
  </si>
  <si>
    <t xml:space="preserve">42 de 60</t>
  </si>
  <si>
    <t xml:space="preserve">43 de 60</t>
  </si>
  <si>
    <t xml:space="preserve">44 de 60</t>
  </si>
  <si>
    <t xml:space="preserve">45 de 60</t>
  </si>
  <si>
    <t xml:space="preserve">46 de 60</t>
  </si>
  <si>
    <t xml:space="preserve">47 de 60</t>
  </si>
  <si>
    <t xml:space="preserve">48 de 60</t>
  </si>
  <si>
    <t xml:space="preserve">49 de 60</t>
  </si>
  <si>
    <t xml:space="preserve">50 de 60</t>
  </si>
  <si>
    <t xml:space="preserve">51 de 60</t>
  </si>
  <si>
    <t xml:space="preserve">52 de 60</t>
  </si>
  <si>
    <t xml:space="preserve">53 de 60</t>
  </si>
  <si>
    <t xml:space="preserve">54 de 60</t>
  </si>
  <si>
    <t xml:space="preserve">55 de 60</t>
  </si>
  <si>
    <t xml:space="preserve">56 de 60</t>
  </si>
  <si>
    <t xml:space="preserve">57 de 60</t>
  </si>
  <si>
    <t xml:space="preserve">58 de 60</t>
  </si>
  <si>
    <t xml:space="preserve">59 de 60</t>
  </si>
  <si>
    <t xml:space="preserve">60 de 60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</si>
</sst>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16]mmmm\/yyyy"/>
    <numFmt numFmtId="166" formatCode="&quot;R$ &quot;#,##0.00"/>
    <numFmt numFmtId="167" formatCode="#,##0.00"/>
    <numFmt numFmtId="168" formatCode="0%"/>
    <numFmt numFmtId="169" formatCode="#,##0"/>
    <numFmt numFmtId="170" formatCode="General"/>
    <numFmt numFmtId="171" formatCode="dd/mm/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77777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b val="true"/>
      <sz val="12"/>
      <color rgb="FF1B5E2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CE6F1"/>
        <bgColor rgb="FFD6E4F7"/>
      </patternFill>
    </fill>
    <fill>
      <patternFill patternType="solid">
        <fgColor rgb="FFFFFDE7"/>
        <bgColor rgb="FFF9FCE8"/>
      </patternFill>
    </fill>
    <fill>
      <patternFill patternType="solid">
        <fgColor rgb="FF2E74B5"/>
        <bgColor rgb="FF0066CC"/>
      </patternFill>
    </fill>
    <fill>
      <patternFill patternType="solid">
        <fgColor rgb="FFE8F5E9"/>
        <bgColor rgb="FFF9FCE8"/>
      </patternFill>
    </fill>
    <fill>
      <patternFill patternType="solid">
        <fgColor rgb="FFD6E4F7"/>
        <bgColor rgb="FFDCE6F1"/>
      </patternFill>
    </fill>
    <fill>
      <patternFill patternType="solid">
        <fgColor rgb="FFFFF8E1"/>
        <bgColor rgb="FFFFFDE7"/>
      </patternFill>
    </fill>
    <fill>
      <patternFill patternType="solid">
        <fgColor rgb="FF556B2F"/>
        <bgColor rgb="FF555555"/>
      </patternFill>
    </fill>
    <fill>
      <patternFill patternType="solid">
        <fgColor rgb="FF6B8E23"/>
        <bgColor rgb="FF556B2F"/>
      </patternFill>
    </fill>
    <fill>
      <patternFill patternType="solid">
        <fgColor rgb="FFF9FCE8"/>
        <bgColor rgb="FFFFFDE7"/>
      </patternFill>
    </fill>
    <fill>
      <patternFill patternType="solid">
        <fgColor rgb="FFFFEBEE"/>
        <bgColor rgb="FFFFF8E1"/>
      </patternFill>
    </fill>
    <fill>
      <patternFill patternType="solid">
        <fgColor rgb="FFC8E6C9"/>
        <bgColor rgb="FFD6E4F7"/>
      </patternFill>
    </fill>
    <fill>
      <patternFill patternType="solid">
        <fgColor rgb="FFF57F17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10" fillId="4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0" fillId="4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7" fontId="10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B71C1C"/>
      </font>
      <fill>
        <patternFill>
          <bgColor rgb="FFFFEBEE"/>
        </patternFill>
      </fill>
    </dxf>
    <dxf>
      <font>
        <name val="Arial"/>
        <charset val="1"/>
        <family val="0"/>
        <b val="1"/>
      </font>
      <fill>
        <patternFill>
          <bgColor rgb="FFFFF59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8E23"/>
      <rgbColor rgb="FF800080"/>
      <rgbColor rgb="FF008080"/>
      <rgbColor rgb="FFF9FCE8"/>
      <rgbColor rgb="FF777777"/>
      <rgbColor rgb="FF9999FF"/>
      <rgbColor rgb="FF993366"/>
      <rgbColor rgb="FFFFF8E1"/>
      <rgbColor rgb="FFE8F5E9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8E6C9"/>
      <rgbColor rgb="FFFFF59D"/>
      <rgbColor rgb="FFFFFDE7"/>
      <rgbColor rgb="FFFF99CC"/>
      <rgbColor rgb="FFCC99FF"/>
      <rgbColor rgb="FFFFEBEE"/>
      <rgbColor rgb="FF2E74B5"/>
      <rgbColor rgb="FF33CCCC"/>
      <rgbColor rgb="FF99CC00"/>
      <rgbColor rgb="FFFFCC00"/>
      <rgbColor rgb="FFFF9900"/>
      <rgbColor rgb="FFF57F17"/>
      <rgbColor rgb="FF555555"/>
      <rgbColor rgb="FF999999"/>
      <rgbColor rgb="FF1F3864"/>
      <rgbColor rgb="FF556B2F"/>
      <rgbColor rgb="FF003300"/>
      <rgbColor rgb="FF333300"/>
      <rgbColor rgb="FFB71C1C"/>
      <rgbColor rgb="FF993366"/>
      <rgbColor rgb="FF333399"/>
      <rgbColor rgb="FF1B5E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82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8" hidden="false" customHeight="true" outlineLevel="0" collapsed="false">
      <c r="B4" s="3" t="s">
        <v>2</v>
      </c>
      <c r="C4" s="3"/>
    </row>
    <row r="5" customFormat="false" ht="24.75" hidden="false" customHeight="true" outlineLevel="0" collapsed="false">
      <c r="B5" s="4" t="s">
        <v>3</v>
      </c>
      <c r="C5" s="5" t="s">
        <v>4</v>
      </c>
    </row>
    <row r="6" customFormat="false" ht="24.75" hidden="false" customHeight="true" outlineLevel="0" collapsed="false">
      <c r="B6" s="4" t="s">
        <v>5</v>
      </c>
      <c r="C6" s="5" t="s">
        <v>6</v>
      </c>
    </row>
    <row r="7" customFormat="false" ht="24.75" hidden="false" customHeight="true" outlineLevel="0" collapsed="false">
      <c r="B7" s="4" t="s">
        <v>7</v>
      </c>
      <c r="C7" s="5" t="s">
        <v>8</v>
      </c>
    </row>
    <row r="9" customFormat="false" ht="18" hidden="false" customHeight="true" outlineLevel="0" collapsed="false">
      <c r="B9" s="3" t="s">
        <v>9</v>
      </c>
      <c r="C9" s="3"/>
    </row>
    <row r="10" customFormat="false" ht="24.75" hidden="false" customHeight="true" outlineLevel="0" collapsed="false">
      <c r="B10" s="4" t="s">
        <v>10</v>
      </c>
      <c r="C10" s="5" t="s">
        <v>11</v>
      </c>
    </row>
    <row r="11" customFormat="false" ht="24.75" hidden="false" customHeight="true" outlineLevel="0" collapsed="false">
      <c r="B11" s="4" t="s">
        <v>12</v>
      </c>
      <c r="C11" s="5" t="s">
        <v>13</v>
      </c>
    </row>
    <row r="12" customFormat="false" ht="24.75" hidden="false" customHeight="true" outlineLevel="0" collapsed="false">
      <c r="B12" s="4" t="s">
        <v>14</v>
      </c>
      <c r="C12" s="5" t="s">
        <v>15</v>
      </c>
    </row>
    <row r="13" customFormat="false" ht="13.5" hidden="false" customHeight="true" outlineLevel="0" collapsed="false">
      <c r="B13" s="4" t="s">
        <v>16</v>
      </c>
      <c r="C13" s="5" t="s">
        <v>17</v>
      </c>
    </row>
    <row r="14" customFormat="false" ht="13.5" hidden="false" customHeight="true" outlineLevel="0" collapsed="false">
      <c r="B14" s="4" t="s">
        <v>18</v>
      </c>
      <c r="C14" s="5" t="s">
        <v>19</v>
      </c>
    </row>
    <row r="16" customFormat="false" ht="18" hidden="false" customHeight="true" outlineLevel="0" collapsed="false">
      <c r="B16" s="3" t="s">
        <v>20</v>
      </c>
      <c r="C16" s="3"/>
    </row>
    <row r="17" customFormat="false" ht="13.5" hidden="false" customHeight="true" outlineLevel="0" collapsed="false">
      <c r="B17" s="4" t="s">
        <v>21</v>
      </c>
      <c r="C17" s="5" t="s">
        <v>22</v>
      </c>
    </row>
    <row r="18" customFormat="false" ht="13.5" hidden="false" customHeight="true" outlineLevel="0" collapsed="false">
      <c r="B18" s="4" t="s">
        <v>23</v>
      </c>
      <c r="C18" s="5" t="s">
        <v>24</v>
      </c>
    </row>
    <row r="19" customFormat="false" ht="24.75" hidden="false" customHeight="true" outlineLevel="0" collapsed="false">
      <c r="B19" s="4" t="s">
        <v>25</v>
      </c>
      <c r="C19" s="5" t="s">
        <v>26</v>
      </c>
    </row>
    <row r="20" customFormat="false" ht="13.5" hidden="false" customHeight="true" outlineLevel="0" collapsed="false">
      <c r="B20" s="4" t="s">
        <v>27</v>
      </c>
      <c r="C20" s="5" t="s">
        <v>28</v>
      </c>
    </row>
    <row r="21" customFormat="false" ht="13.5" hidden="false" customHeight="true" outlineLevel="0" collapsed="false">
      <c r="B21" s="4" t="s">
        <v>29</v>
      </c>
      <c r="C21" s="5" t="s">
        <v>30</v>
      </c>
    </row>
    <row r="22" customFormat="false" ht="24.75" hidden="false" customHeight="true" outlineLevel="0" collapsed="false">
      <c r="B22" s="4" t="s">
        <v>31</v>
      </c>
      <c r="C22" s="5" t="s">
        <v>32</v>
      </c>
    </row>
    <row r="23" customFormat="false" ht="24.75" hidden="false" customHeight="true" outlineLevel="0" collapsed="false">
      <c r="B23" s="4" t="s">
        <v>33</v>
      </c>
      <c r="C23" s="5" t="s">
        <v>34</v>
      </c>
    </row>
    <row r="24" customFormat="false" ht="24.75" hidden="false" customHeight="true" outlineLevel="0" collapsed="false">
      <c r="B24" s="4" t="s">
        <v>35</v>
      </c>
      <c r="C24" s="5" t="s">
        <v>36</v>
      </c>
    </row>
    <row r="25" customFormat="false" ht="13.5" hidden="false" customHeight="true" outlineLevel="0" collapsed="false">
      <c r="B25" s="4" t="s">
        <v>37</v>
      </c>
      <c r="C25" s="5" t="s">
        <v>38</v>
      </c>
    </row>
    <row r="26" customFormat="false" ht="13.5" hidden="false" customHeight="true" outlineLevel="0" collapsed="false">
      <c r="B26" s="4" t="s">
        <v>39</v>
      </c>
      <c r="C26" s="5" t="s">
        <v>40</v>
      </c>
    </row>
    <row r="27" customFormat="false" ht="13.5" hidden="false" customHeight="true" outlineLevel="0" collapsed="false">
      <c r="B27" s="4" t="s">
        <v>41</v>
      </c>
      <c r="C27" s="5" t="s">
        <v>42</v>
      </c>
    </row>
    <row r="28" customFormat="false" ht="13.5" hidden="false" customHeight="true" outlineLevel="0" collapsed="false">
      <c r="B28" s="4" t="s">
        <v>43</v>
      </c>
      <c r="C28" s="5" t="s">
        <v>44</v>
      </c>
    </row>
    <row r="29" customFormat="false" ht="24.75" hidden="false" customHeight="true" outlineLevel="0" collapsed="false">
      <c r="B29" s="4" t="s">
        <v>45</v>
      </c>
      <c r="C29" s="5" t="s">
        <v>46</v>
      </c>
    </row>
    <row r="31" customFormat="false" ht="18" hidden="false" customHeight="true" outlineLevel="0" collapsed="false">
      <c r="B31" s="3" t="s">
        <v>47</v>
      </c>
      <c r="C31" s="3"/>
    </row>
    <row r="32" customFormat="false" ht="13.5" hidden="false" customHeight="true" outlineLevel="0" collapsed="false">
      <c r="B32" s="4" t="s">
        <v>48</v>
      </c>
      <c r="C32" s="5" t="s">
        <v>49</v>
      </c>
    </row>
    <row r="33" customFormat="false" ht="13.5" hidden="false" customHeight="true" outlineLevel="0" collapsed="false">
      <c r="B33" s="4" t="s">
        <v>50</v>
      </c>
      <c r="C33" s="5" t="s">
        <v>51</v>
      </c>
    </row>
    <row r="34" customFormat="false" ht="13.5" hidden="false" customHeight="true" outlineLevel="0" collapsed="false">
      <c r="B34" s="4" t="s">
        <v>52</v>
      </c>
      <c r="C34" s="5" t="s">
        <v>53</v>
      </c>
    </row>
    <row r="35" customFormat="false" ht="13.5" hidden="false" customHeight="true" outlineLevel="0" collapsed="false">
      <c r="B35" s="4" t="s">
        <v>54</v>
      </c>
      <c r="C35" s="5" t="s">
        <v>55</v>
      </c>
    </row>
    <row r="36" customFormat="false" ht="13.5" hidden="false" customHeight="true" outlineLevel="0" collapsed="false">
      <c r="B36" s="4" t="s">
        <v>56</v>
      </c>
      <c r="C36" s="5" t="s">
        <v>57</v>
      </c>
    </row>
    <row r="37" customFormat="false" ht="13.5" hidden="false" customHeight="true" outlineLevel="0" collapsed="false">
      <c r="B37" s="4" t="s">
        <v>58</v>
      </c>
      <c r="C37" s="5" t="s">
        <v>59</v>
      </c>
    </row>
    <row r="39" customFormat="false" ht="18" hidden="false" customHeight="true" outlineLevel="0" collapsed="false">
      <c r="B39" s="3" t="s">
        <v>60</v>
      </c>
      <c r="C39" s="3"/>
    </row>
    <row r="40" customFormat="false" ht="24.75" hidden="false" customHeight="true" outlineLevel="0" collapsed="false">
      <c r="B40" s="4" t="s">
        <v>61</v>
      </c>
      <c r="C40" s="5" t="s">
        <v>62</v>
      </c>
    </row>
    <row r="41" customFormat="false" ht="24.75" hidden="false" customHeight="true" outlineLevel="0" collapsed="false">
      <c r="B41" s="4" t="s">
        <v>63</v>
      </c>
      <c r="C41" s="5" t="s">
        <v>64</v>
      </c>
    </row>
    <row r="42" customFormat="false" ht="13.5" hidden="false" customHeight="true" outlineLevel="0" collapsed="false">
      <c r="B42" s="4" t="s">
        <v>65</v>
      </c>
      <c r="C42" s="5" t="s">
        <v>66</v>
      </c>
    </row>
    <row r="43" customFormat="false" ht="13.5" hidden="false" customHeight="true" outlineLevel="0" collapsed="false">
      <c r="B43" s="4" t="s">
        <v>67</v>
      </c>
      <c r="C43" s="5" t="s">
        <v>68</v>
      </c>
    </row>
    <row r="44" customFormat="false" ht="13.5" hidden="false" customHeight="true" outlineLevel="0" collapsed="false">
      <c r="B44" s="4" t="s">
        <v>69</v>
      </c>
      <c r="C44" s="5" t="s">
        <v>70</v>
      </c>
    </row>
    <row r="46" customFormat="false" ht="15" hidden="false" customHeight="true" outlineLevel="0" collapsed="false">
      <c r="B46" s="6" t="s">
        <v>71</v>
      </c>
      <c r="C46" s="6"/>
    </row>
  </sheetData>
  <mergeCells count="6">
    <mergeCell ref="B4:C4"/>
    <mergeCell ref="B9:C9"/>
    <mergeCell ref="B16:C16"/>
    <mergeCell ref="B31:C31"/>
    <mergeCell ref="B39:C39"/>
    <mergeCell ref="B46:C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10"/>
  </cols>
  <sheetData>
    <row r="1" customFormat="false" ht="16.5" hidden="false" customHeight="true" outlineLevel="0" collapsed="false">
      <c r="A1" s="7" t="s">
        <v>72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8" t="s">
        <v>73</v>
      </c>
      <c r="B2" s="9" t="s">
        <v>74</v>
      </c>
      <c r="C2" s="9"/>
      <c r="D2" s="9"/>
      <c r="E2" s="9"/>
      <c r="F2" s="9"/>
    </row>
    <row r="3" customFormat="false" ht="15" hidden="false" customHeight="false" outlineLevel="0" collapsed="false">
      <c r="A3" s="8" t="s">
        <v>75</v>
      </c>
      <c r="B3" s="9" t="s">
        <v>76</v>
      </c>
      <c r="C3" s="9"/>
      <c r="D3" s="9"/>
      <c r="E3" s="9"/>
      <c r="F3" s="9"/>
    </row>
    <row r="4" customFormat="false" ht="15" hidden="false" customHeight="false" outlineLevel="0" collapsed="false">
      <c r="A4" s="8" t="s">
        <v>77</v>
      </c>
      <c r="B4" s="9" t="s">
        <v>78</v>
      </c>
      <c r="C4" s="9"/>
      <c r="D4" s="9"/>
      <c r="E4" s="9"/>
      <c r="F4" s="9"/>
    </row>
    <row r="5" customFormat="false" ht="15" hidden="false" customHeight="false" outlineLevel="0" collapsed="false">
      <c r="A5" s="8" t="s">
        <v>79</v>
      </c>
      <c r="B5" s="9"/>
      <c r="C5" s="9"/>
      <c r="D5" s="9"/>
      <c r="E5" s="9"/>
      <c r="F5" s="9"/>
    </row>
    <row r="6" customFormat="false" ht="15" hidden="false" customHeight="false" outlineLevel="0" collapsed="false">
      <c r="A6" s="8" t="s">
        <v>80</v>
      </c>
      <c r="B6" s="9" t="s">
        <v>81</v>
      </c>
      <c r="C6" s="9"/>
      <c r="D6" s="9"/>
      <c r="E6" s="9"/>
      <c r="F6" s="9"/>
    </row>
    <row r="7" customFormat="false" ht="15" hidden="false" customHeight="false" outlineLevel="0" collapsed="false">
      <c r="A7" s="8" t="s">
        <v>82</v>
      </c>
      <c r="B7" s="10"/>
      <c r="C7" s="10"/>
      <c r="D7" s="10"/>
      <c r="E7" s="10"/>
      <c r="F7" s="10"/>
    </row>
    <row r="8" customFormat="false" ht="15" hidden="false" customHeight="true" outlineLevel="0" collapsed="false">
      <c r="A8" s="6" t="s">
        <v>83</v>
      </c>
      <c r="B8" s="6"/>
      <c r="C8" s="6"/>
      <c r="D8" s="6"/>
      <c r="E8" s="6"/>
      <c r="F8" s="6"/>
    </row>
    <row r="10" customFormat="false" ht="16.5" hidden="false" customHeight="true" outlineLevel="0" collapsed="false">
      <c r="A10" s="7" t="s">
        <v>84</v>
      </c>
      <c r="B10" s="7"/>
      <c r="C10" s="7"/>
      <c r="D10" s="7"/>
      <c r="E10" s="7"/>
      <c r="F10" s="7"/>
    </row>
    <row r="11" customFormat="false" ht="27.75" hidden="false" customHeight="true" outlineLevel="0" collapsed="false">
      <c r="A11" s="11" t="s">
        <v>85</v>
      </c>
      <c r="B11" s="11" t="s">
        <v>86</v>
      </c>
      <c r="C11" s="11" t="s">
        <v>87</v>
      </c>
      <c r="D11" s="11" t="s">
        <v>88</v>
      </c>
      <c r="E11" s="11" t="s">
        <v>89</v>
      </c>
      <c r="F11" s="11"/>
    </row>
    <row r="12" customFormat="false" ht="19.4" hidden="false" customHeight="false" outlineLevel="0" collapsed="false">
      <c r="A12" s="12" t="n">
        <v>1</v>
      </c>
      <c r="B12" s="9" t="s">
        <v>90</v>
      </c>
      <c r="C12" s="12" t="n">
        <v>2</v>
      </c>
      <c r="D12" s="13" t="n">
        <v>5996.89</v>
      </c>
      <c r="E12" s="14" t="s">
        <v>91</v>
      </c>
      <c r="F12" s="15"/>
    </row>
    <row r="13" customFormat="false" ht="15" hidden="false" customHeight="false" outlineLevel="0" collapsed="false">
      <c r="A13" s="12"/>
      <c r="B13" s="9"/>
      <c r="C13" s="12"/>
      <c r="D13" s="13"/>
      <c r="E13" s="14"/>
      <c r="F13" s="15"/>
    </row>
    <row r="14" customFormat="false" ht="15" hidden="false" customHeight="false" outlineLevel="0" collapsed="false">
      <c r="A14" s="12"/>
      <c r="B14" s="9"/>
      <c r="C14" s="12"/>
      <c r="D14" s="13"/>
      <c r="E14" s="14"/>
      <c r="F14" s="15"/>
    </row>
    <row r="15" customFormat="false" ht="15" hidden="false" customHeight="false" outlineLevel="0" collapsed="false">
      <c r="A15" s="12"/>
      <c r="B15" s="9"/>
      <c r="C15" s="12"/>
      <c r="D15" s="13"/>
      <c r="E15" s="14"/>
      <c r="F15" s="15"/>
    </row>
    <row r="16" customFormat="false" ht="15" hidden="false" customHeight="false" outlineLevel="0" collapsed="false">
      <c r="A16" s="12"/>
      <c r="B16" s="9"/>
      <c r="C16" s="12"/>
      <c r="D16" s="13"/>
      <c r="E16" s="14"/>
      <c r="F16" s="15"/>
    </row>
    <row r="17" customFormat="false" ht="15" hidden="false" customHeight="false" outlineLevel="0" collapsed="false">
      <c r="A17" s="12"/>
      <c r="B17" s="9"/>
      <c r="C17" s="12"/>
      <c r="D17" s="13"/>
      <c r="E17" s="14"/>
      <c r="F17" s="15"/>
    </row>
    <row r="18" customFormat="false" ht="15" hidden="false" customHeight="false" outlineLevel="0" collapsed="false">
      <c r="A18" s="12"/>
      <c r="B18" s="9"/>
      <c r="C18" s="12"/>
      <c r="D18" s="13"/>
      <c r="E18" s="14"/>
      <c r="F18" s="15"/>
    </row>
    <row r="19" customFormat="false" ht="15" hidden="false" customHeight="false" outlineLevel="0" collapsed="false">
      <c r="A19" s="12"/>
      <c r="B19" s="9"/>
      <c r="C19" s="12"/>
      <c r="D19" s="13"/>
      <c r="E19" s="14"/>
      <c r="F19" s="15"/>
    </row>
    <row r="20" customFormat="false" ht="15" hidden="false" customHeight="false" outlineLevel="0" collapsed="false">
      <c r="A20" s="12"/>
      <c r="B20" s="9"/>
      <c r="C20" s="12"/>
      <c r="D20" s="13"/>
      <c r="E20" s="14"/>
      <c r="F20" s="15"/>
    </row>
    <row r="21" customFormat="false" ht="15" hidden="false" customHeight="false" outlineLevel="0" collapsed="false">
      <c r="A21" s="12"/>
      <c r="B21" s="9"/>
      <c r="C21" s="12"/>
      <c r="D21" s="13"/>
      <c r="E21" s="14"/>
      <c r="F21" s="15"/>
    </row>
    <row r="22" customFormat="false" ht="15" hidden="false" customHeight="false" outlineLevel="0" collapsed="false">
      <c r="A22" s="12"/>
      <c r="B22" s="9"/>
      <c r="C22" s="12"/>
      <c r="D22" s="13"/>
      <c r="E22" s="14"/>
      <c r="F22" s="15"/>
    </row>
    <row r="23" customFormat="false" ht="15" hidden="false" customHeight="false" outlineLevel="0" collapsed="false">
      <c r="A23" s="12"/>
      <c r="B23" s="9"/>
      <c r="C23" s="12"/>
      <c r="D23" s="13"/>
      <c r="E23" s="14"/>
      <c r="F23" s="15"/>
    </row>
    <row r="24" customFormat="false" ht="15" hidden="false" customHeight="false" outlineLevel="0" collapsed="false">
      <c r="A24" s="12"/>
      <c r="B24" s="9"/>
      <c r="C24" s="12"/>
      <c r="D24" s="13"/>
      <c r="E24" s="14"/>
      <c r="F24" s="15"/>
    </row>
    <row r="25" customFormat="false" ht="15" hidden="false" customHeight="false" outlineLevel="0" collapsed="false">
      <c r="A25" s="12"/>
      <c r="B25" s="9"/>
      <c r="C25" s="12"/>
      <c r="D25" s="13"/>
      <c r="E25" s="14"/>
      <c r="F25" s="15"/>
    </row>
    <row r="26" customFormat="false" ht="15" hidden="false" customHeight="false" outlineLevel="0" collapsed="false">
      <c r="A26" s="12"/>
      <c r="B26" s="9"/>
      <c r="C26" s="12"/>
      <c r="D26" s="13"/>
      <c r="E26" s="14"/>
      <c r="F26" s="15"/>
    </row>
    <row r="27" customFormat="false" ht="15" hidden="false" customHeight="false" outlineLevel="0" collapsed="false">
      <c r="A27" s="8" t="s">
        <v>92</v>
      </c>
      <c r="B27" s="8"/>
      <c r="C27" s="8"/>
      <c r="D27" s="16" t="n">
        <f aca="false">SUMPRODUCT(C12:C26,D12:D26)</f>
        <v>11993.78</v>
      </c>
      <c r="E27" s="17"/>
      <c r="F27" s="17"/>
    </row>
    <row r="29" customFormat="false" ht="16.5" hidden="false" customHeight="true" outlineLevel="0" collapsed="false">
      <c r="A29" s="7" t="s">
        <v>93</v>
      </c>
      <c r="B29" s="7"/>
      <c r="C29" s="7"/>
      <c r="D29" s="7"/>
      <c r="E29" s="7"/>
      <c r="F29" s="7"/>
    </row>
    <row r="30" customFormat="false" ht="15" hidden="false" customHeight="false" outlineLevel="0" collapsed="false">
      <c r="A30" s="8" t="s">
        <v>94</v>
      </c>
      <c r="B30" s="8"/>
      <c r="C30" s="8"/>
      <c r="D30" s="13" t="n">
        <v>0</v>
      </c>
      <c r="E30" s="15"/>
      <c r="F30" s="15"/>
    </row>
    <row r="31" customFormat="false" ht="15" hidden="false" customHeight="false" outlineLevel="0" collapsed="false">
      <c r="A31" s="8" t="s">
        <v>95</v>
      </c>
      <c r="B31" s="8"/>
      <c r="C31" s="8"/>
      <c r="D31" s="13" t="n">
        <v>0</v>
      </c>
      <c r="E31" s="15"/>
      <c r="F31" s="15"/>
    </row>
    <row r="32" customFormat="false" ht="15" hidden="false" customHeight="true" outlineLevel="0" collapsed="false">
      <c r="A32" s="6" t="s">
        <v>96</v>
      </c>
      <c r="B32" s="6"/>
      <c r="C32" s="6"/>
      <c r="D32" s="6"/>
      <c r="E32" s="6"/>
      <c r="F32" s="6"/>
    </row>
    <row r="34" customFormat="false" ht="16.5" hidden="false" customHeight="true" outlineLevel="0" collapsed="false">
      <c r="A34" s="7" t="s">
        <v>97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18" t="s">
        <v>98</v>
      </c>
      <c r="B35" s="18" t="s">
        <v>99</v>
      </c>
      <c r="C35" s="18" t="s">
        <v>100</v>
      </c>
      <c r="D35" s="18" t="s">
        <v>101</v>
      </c>
      <c r="E35" s="18"/>
      <c r="F35" s="18"/>
    </row>
    <row r="36" customFormat="false" ht="15" hidden="false" customHeight="false" outlineLevel="0" collapsed="false">
      <c r="A36" s="19" t="s">
        <v>102</v>
      </c>
      <c r="B36" s="20" t="s">
        <v>103</v>
      </c>
      <c r="C36" s="21" t="n">
        <v>0.4</v>
      </c>
      <c r="D36" s="19" t="n">
        <v>1</v>
      </c>
      <c r="E36" s="15"/>
      <c r="F36" s="15"/>
    </row>
    <row r="37" customFormat="false" ht="23.85" hidden="false" customHeight="false" outlineLevel="0" collapsed="false">
      <c r="A37" s="19" t="s">
        <v>104</v>
      </c>
      <c r="B37" s="20" t="s">
        <v>105</v>
      </c>
      <c r="C37" s="21" t="n">
        <v>0.35</v>
      </c>
      <c r="D37" s="19" t="n">
        <v>1</v>
      </c>
      <c r="E37" s="15"/>
      <c r="F37" s="15"/>
    </row>
    <row r="38" customFormat="false" ht="15" hidden="false" customHeight="false" outlineLevel="0" collapsed="false">
      <c r="A38" s="19" t="s">
        <v>106</v>
      </c>
      <c r="B38" s="20" t="s">
        <v>107</v>
      </c>
      <c r="C38" s="21" t="n">
        <v>0.25</v>
      </c>
      <c r="D38" s="19" t="n">
        <v>1</v>
      </c>
      <c r="E38" s="15"/>
      <c r="F38" s="15"/>
    </row>
    <row r="39" customFormat="false" ht="15" hidden="false" customHeight="false" outlineLevel="0" collapsed="false">
      <c r="A39" s="19" t="s">
        <v>108</v>
      </c>
      <c r="B39" s="20" t="s">
        <v>109</v>
      </c>
      <c r="C39" s="21" t="n">
        <v>0.4</v>
      </c>
      <c r="D39" s="19" t="n">
        <v>2</v>
      </c>
      <c r="E39" s="15"/>
      <c r="F39" s="15"/>
    </row>
    <row r="40" customFormat="false" ht="15" hidden="false" customHeight="false" outlineLevel="0" collapsed="false">
      <c r="A40" s="19" t="s">
        <v>110</v>
      </c>
      <c r="B40" s="20" t="s">
        <v>111</v>
      </c>
      <c r="C40" s="21" t="n">
        <v>0.2</v>
      </c>
      <c r="D40" s="19" t="n">
        <v>2</v>
      </c>
      <c r="E40" s="15"/>
      <c r="F40" s="15"/>
    </row>
    <row r="41" customFormat="false" ht="15" hidden="false" customHeight="false" outlineLevel="0" collapsed="false">
      <c r="A41" s="19" t="s">
        <v>112</v>
      </c>
      <c r="B41" s="20" t="s">
        <v>113</v>
      </c>
      <c r="C41" s="21" t="n">
        <v>0.4</v>
      </c>
      <c r="D41" s="19" t="n">
        <v>2</v>
      </c>
      <c r="E41" s="15"/>
      <c r="F41" s="15"/>
    </row>
    <row r="42" customFormat="false" ht="15" hidden="false" customHeight="false" outlineLevel="0" collapsed="false">
      <c r="A42" s="19" t="s">
        <v>114</v>
      </c>
      <c r="B42" s="20" t="s">
        <v>115</v>
      </c>
      <c r="C42" s="21" t="n">
        <v>0.2</v>
      </c>
      <c r="D42" s="19" t="n">
        <v>3</v>
      </c>
      <c r="E42" s="15"/>
      <c r="F42" s="15"/>
    </row>
    <row r="43" customFormat="false" ht="23.85" hidden="false" customHeight="false" outlineLevel="0" collapsed="false">
      <c r="A43" s="19" t="s">
        <v>116</v>
      </c>
      <c r="B43" s="20" t="s">
        <v>117</v>
      </c>
      <c r="C43" s="21" t="n">
        <v>0.3</v>
      </c>
      <c r="D43" s="19" t="n">
        <v>3</v>
      </c>
      <c r="E43" s="15"/>
      <c r="F43" s="15"/>
    </row>
    <row r="44" customFormat="false" ht="15" hidden="false" customHeight="false" outlineLevel="0" collapsed="false">
      <c r="A44" s="19" t="s">
        <v>118</v>
      </c>
      <c r="B44" s="20" t="s">
        <v>119</v>
      </c>
      <c r="C44" s="21" t="n">
        <v>0.25</v>
      </c>
      <c r="D44" s="19" t="n">
        <v>3</v>
      </c>
      <c r="E44" s="15"/>
      <c r="F44" s="15"/>
    </row>
    <row r="45" customFormat="false" ht="23.85" hidden="false" customHeight="false" outlineLevel="0" collapsed="false">
      <c r="A45" s="19" t="s">
        <v>120</v>
      </c>
      <c r="B45" s="20" t="s">
        <v>121</v>
      </c>
      <c r="C45" s="21" t="n">
        <v>0.25</v>
      </c>
      <c r="D45" s="19" t="n">
        <v>3</v>
      </c>
      <c r="E45" s="15"/>
      <c r="F45" s="15"/>
    </row>
    <row r="46" customFormat="false" ht="15" hidden="false" customHeight="false" outlineLevel="0" collapsed="false">
      <c r="A46" s="8" t="s">
        <v>122</v>
      </c>
      <c r="B46" s="8"/>
      <c r="C46" s="22" t="n">
        <f aca="false">SUM(C36:C45)</f>
        <v>3</v>
      </c>
      <c r="D46" s="17"/>
      <c r="E46" s="17"/>
      <c r="F46" s="17"/>
    </row>
    <row r="48" customFormat="false" ht="16.5" hidden="false" customHeight="true" outlineLevel="0" collapsed="false">
      <c r="A48" s="7" t="s">
        <v>123</v>
      </c>
      <c r="B48" s="7"/>
      <c r="C48" s="7"/>
      <c r="D48" s="7"/>
      <c r="E48" s="7"/>
      <c r="F48" s="7"/>
    </row>
    <row r="49" customFormat="false" ht="25.5" hidden="false" customHeight="true" outlineLevel="0" collapsed="false">
      <c r="A49" s="11" t="s">
        <v>124</v>
      </c>
      <c r="B49" s="11" t="s">
        <v>125</v>
      </c>
      <c r="C49" s="11" t="s">
        <v>126</v>
      </c>
      <c r="D49" s="11" t="s">
        <v>127</v>
      </c>
      <c r="E49" s="11"/>
      <c r="F49" s="11"/>
    </row>
    <row r="50" customFormat="false" ht="15" hidden="false" customHeight="false" outlineLevel="0" collapsed="false">
      <c r="A50" s="21" t="n">
        <v>0</v>
      </c>
      <c r="B50" s="23" t="s">
        <v>128</v>
      </c>
      <c r="C50" s="24" t="n">
        <v>0.75</v>
      </c>
      <c r="D50" s="19" t="s">
        <v>129</v>
      </c>
      <c r="E50" s="15"/>
      <c r="F50" s="15"/>
    </row>
    <row r="51" customFormat="false" ht="15" hidden="false" customHeight="false" outlineLevel="0" collapsed="false">
      <c r="A51" s="21" t="n">
        <v>5.4</v>
      </c>
      <c r="B51" s="23" t="s">
        <v>130</v>
      </c>
      <c r="C51" s="24" t="n">
        <v>0.8</v>
      </c>
      <c r="D51" s="19" t="s">
        <v>131</v>
      </c>
      <c r="E51" s="15"/>
      <c r="F51" s="15"/>
    </row>
    <row r="52" customFormat="false" ht="15" hidden="false" customHeight="false" outlineLevel="0" collapsed="false">
      <c r="A52" s="21" t="n">
        <v>5.85</v>
      </c>
      <c r="B52" s="23" t="s">
        <v>132</v>
      </c>
      <c r="C52" s="24" t="n">
        <v>0.85</v>
      </c>
      <c r="D52" s="19" t="s">
        <v>133</v>
      </c>
      <c r="E52" s="15"/>
      <c r="F52" s="15"/>
    </row>
    <row r="53" customFormat="false" ht="15" hidden="false" customHeight="false" outlineLevel="0" collapsed="false">
      <c r="A53" s="21" t="n">
        <v>6.75</v>
      </c>
      <c r="B53" s="23" t="s">
        <v>134</v>
      </c>
      <c r="C53" s="24" t="n">
        <v>0.9</v>
      </c>
      <c r="D53" s="19" t="s">
        <v>135</v>
      </c>
      <c r="E53" s="15"/>
      <c r="F53" s="15"/>
    </row>
    <row r="54" customFormat="false" ht="15" hidden="false" customHeight="false" outlineLevel="0" collapsed="false">
      <c r="A54" s="21" t="n">
        <v>7.65</v>
      </c>
      <c r="B54" s="23" t="s">
        <v>136</v>
      </c>
      <c r="C54" s="24" t="n">
        <v>0.95</v>
      </c>
      <c r="D54" s="19" t="s">
        <v>137</v>
      </c>
      <c r="E54" s="15"/>
      <c r="F54" s="15"/>
    </row>
    <row r="55" customFormat="false" ht="15" hidden="false" customHeight="false" outlineLevel="0" collapsed="false">
      <c r="A55" s="21" t="n">
        <v>8.1</v>
      </c>
      <c r="B55" s="23" t="s">
        <v>138</v>
      </c>
      <c r="C55" s="24" t="n">
        <v>1</v>
      </c>
      <c r="D55" s="19" t="s">
        <v>139</v>
      </c>
      <c r="E55" s="15"/>
      <c r="F55" s="15"/>
    </row>
    <row r="56" customFormat="false" ht="15" hidden="false" customHeight="true" outlineLevel="0" collapsed="false">
      <c r="A56" s="6" t="s">
        <v>140</v>
      </c>
      <c r="B56" s="6"/>
      <c r="C56" s="6"/>
      <c r="D56" s="6"/>
      <c r="E56" s="6"/>
      <c r="F56" s="6"/>
    </row>
  </sheetData>
  <mergeCells count="18">
    <mergeCell ref="A1:F1"/>
    <mergeCell ref="B2:F2"/>
    <mergeCell ref="B3:F3"/>
    <mergeCell ref="B4:F4"/>
    <mergeCell ref="B5:F5"/>
    <mergeCell ref="B6:F6"/>
    <mergeCell ref="B7:F7"/>
    <mergeCell ref="A8:F8"/>
    <mergeCell ref="A10:F10"/>
    <mergeCell ref="A27:C27"/>
    <mergeCell ref="A29:F29"/>
    <mergeCell ref="A30:C30"/>
    <mergeCell ref="A31:C31"/>
    <mergeCell ref="A32:F32"/>
    <mergeCell ref="A34:F34"/>
    <mergeCell ref="A46:B46"/>
    <mergeCell ref="A48:F48"/>
    <mergeCell ref="A56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19"/>
    <col collapsed="false" customWidth="true" hidden="false" outlineLevel="0" max="9" min="9" style="0" width="20"/>
    <col collapsed="false" customWidth="true" hidden="false" outlineLevel="0" max="10" min="10" style="0" width="19"/>
    <col collapsed="false" customWidth="true" hidden="false" outlineLevel="0" max="11" min="11" style="0" width="17"/>
    <col collapsed="false" customWidth="true" hidden="false" outlineLevel="0" max="12" min="12" style="0" width="19"/>
  </cols>
  <sheetData>
    <row r="1" customFormat="false" ht="16.5" hidden="false" customHeight="true" outlineLevel="0" collapsed="false">
      <c r="A1" s="7" t="s">
        <v>141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31.5" hidden="false" customHeight="true" outlineLevel="0" collapsed="false">
      <c r="A2" s="11" t="s">
        <v>142</v>
      </c>
      <c r="B2" s="11" t="s">
        <v>143</v>
      </c>
      <c r="C2" s="11" t="s">
        <v>23</v>
      </c>
      <c r="D2" s="11" t="s">
        <v>125</v>
      </c>
      <c r="E2" s="11" t="s">
        <v>144</v>
      </c>
      <c r="F2" s="11" t="s">
        <v>145</v>
      </c>
      <c r="G2" s="11" t="s">
        <v>146</v>
      </c>
      <c r="H2" s="11" t="s">
        <v>147</v>
      </c>
      <c r="I2" s="11" t="s">
        <v>148</v>
      </c>
      <c r="J2" s="11" t="s">
        <v>149</v>
      </c>
      <c r="K2" s="11" t="s">
        <v>150</v>
      </c>
      <c r="L2" s="11" t="s">
        <v>151</v>
      </c>
    </row>
    <row r="3" customFormat="false" ht="15" hidden="false" customHeight="false" outlineLevel="0" collapsed="false">
      <c r="A3" s="23" t="s">
        <v>152</v>
      </c>
      <c r="B3" s="25" t="str">
        <f aca="false">P01!B7</f>
        <v>(informe o período inicial na aba Dados)</v>
      </c>
      <c r="C3" s="26" t="n">
        <f aca="false">P01!D28</f>
        <v>9</v>
      </c>
      <c r="D3" s="23" t="str">
        <f aca="false">P01!F28</f>
        <v>A</v>
      </c>
      <c r="E3" s="27" t="n">
        <f aca="false">P01!F71</f>
        <v>1</v>
      </c>
      <c r="F3" s="28" t="n">
        <f aca="false">P01!F74</f>
        <v>30</v>
      </c>
      <c r="G3" s="29" t="n">
        <f aca="false">P01!I47</f>
        <v>11993.78</v>
      </c>
      <c r="H3" s="29" t="n">
        <f aca="false">P01!F72</f>
        <v>0</v>
      </c>
      <c r="I3" s="29" t="n">
        <f aca="false">P01!H47</f>
        <v>11993.78</v>
      </c>
      <c r="J3" s="29" t="n">
        <f aca="false">P01!F83</f>
        <v>0</v>
      </c>
      <c r="K3" s="29" t="n">
        <f aca="false">P01!F84</f>
        <v>0</v>
      </c>
      <c r="L3" s="30" t="n">
        <f aca="false">P01!F77</f>
        <v>11993.78</v>
      </c>
    </row>
    <row r="4" customFormat="false" ht="15" hidden="false" customHeight="false" outlineLevel="0" collapsed="false">
      <c r="A4" s="23" t="s">
        <v>153</v>
      </c>
      <c r="B4" s="25" t="str">
        <f aca="false">P02!B7</f>
        <v>(informe o período inicial na aba Dados)</v>
      </c>
      <c r="C4" s="26" t="n">
        <f aca="false">P02!D28</f>
        <v>9</v>
      </c>
      <c r="D4" s="23" t="str">
        <f aca="false">P02!F28</f>
        <v>A</v>
      </c>
      <c r="E4" s="27" t="n">
        <f aca="false">P02!F71</f>
        <v>1</v>
      </c>
      <c r="F4" s="28" t="n">
        <f aca="false">P02!F74</f>
        <v>30</v>
      </c>
      <c r="G4" s="29" t="n">
        <f aca="false">P02!I47</f>
        <v>11993.78</v>
      </c>
      <c r="H4" s="29" t="n">
        <f aca="false">P02!F72</f>
        <v>0</v>
      </c>
      <c r="I4" s="29" t="n">
        <f aca="false">P02!H47</f>
        <v>11993.78</v>
      </c>
      <c r="J4" s="29" t="n">
        <f aca="false">P02!F83</f>
        <v>0</v>
      </c>
      <c r="K4" s="29" t="n">
        <f aca="false">P02!F84</f>
        <v>0</v>
      </c>
      <c r="L4" s="30" t="n">
        <f aca="false">P02!F77</f>
        <v>11993.78</v>
      </c>
    </row>
    <row r="5" customFormat="false" ht="15" hidden="false" customHeight="false" outlineLevel="0" collapsed="false">
      <c r="A5" s="23" t="s">
        <v>154</v>
      </c>
      <c r="B5" s="25" t="str">
        <f aca="false">P03!B7</f>
        <v>(informe o período inicial na aba Dados)</v>
      </c>
      <c r="C5" s="26" t="n">
        <f aca="false">P03!D28</f>
        <v>9</v>
      </c>
      <c r="D5" s="23" t="str">
        <f aca="false">P03!F28</f>
        <v>A</v>
      </c>
      <c r="E5" s="27" t="n">
        <f aca="false">P03!F71</f>
        <v>1</v>
      </c>
      <c r="F5" s="28" t="n">
        <f aca="false">P03!F74</f>
        <v>30</v>
      </c>
      <c r="G5" s="29" t="n">
        <f aca="false">P03!I47</f>
        <v>11993.78</v>
      </c>
      <c r="H5" s="29" t="n">
        <f aca="false">P03!F72</f>
        <v>0</v>
      </c>
      <c r="I5" s="29" t="n">
        <f aca="false">P03!H47</f>
        <v>11993.78</v>
      </c>
      <c r="J5" s="29" t="n">
        <f aca="false">P03!F83</f>
        <v>0</v>
      </c>
      <c r="K5" s="29" t="n">
        <f aca="false">P03!F84</f>
        <v>0</v>
      </c>
      <c r="L5" s="30" t="n">
        <f aca="false">P03!F77</f>
        <v>11993.78</v>
      </c>
    </row>
    <row r="6" customFormat="false" ht="15" hidden="false" customHeight="false" outlineLevel="0" collapsed="false">
      <c r="A6" s="23" t="s">
        <v>155</v>
      </c>
      <c r="B6" s="25" t="str">
        <f aca="false">P04!B7</f>
        <v>(informe o período inicial na aba Dados)</v>
      </c>
      <c r="C6" s="26" t="n">
        <f aca="false">P04!D28</f>
        <v>9</v>
      </c>
      <c r="D6" s="23" t="str">
        <f aca="false">P04!F28</f>
        <v>A</v>
      </c>
      <c r="E6" s="27" t="n">
        <f aca="false">P04!F71</f>
        <v>1</v>
      </c>
      <c r="F6" s="28" t="n">
        <f aca="false">P04!F74</f>
        <v>30</v>
      </c>
      <c r="G6" s="29" t="n">
        <f aca="false">P04!I47</f>
        <v>11993.78</v>
      </c>
      <c r="H6" s="29" t="n">
        <f aca="false">P04!F72</f>
        <v>0</v>
      </c>
      <c r="I6" s="29" t="n">
        <f aca="false">P04!H47</f>
        <v>11993.78</v>
      </c>
      <c r="J6" s="29" t="n">
        <f aca="false">P04!F83</f>
        <v>0</v>
      </c>
      <c r="K6" s="29" t="n">
        <f aca="false">P04!F84</f>
        <v>0</v>
      </c>
      <c r="L6" s="30" t="n">
        <f aca="false">P04!F77</f>
        <v>11993.78</v>
      </c>
    </row>
    <row r="7" customFormat="false" ht="15" hidden="false" customHeight="false" outlineLevel="0" collapsed="false">
      <c r="A7" s="23" t="s">
        <v>156</v>
      </c>
      <c r="B7" s="25" t="str">
        <f aca="false">P05!B7</f>
        <v>(informe o período inicial na aba Dados)</v>
      </c>
      <c r="C7" s="26" t="n">
        <f aca="false">P05!D28</f>
        <v>9</v>
      </c>
      <c r="D7" s="23" t="str">
        <f aca="false">P05!F28</f>
        <v>A</v>
      </c>
      <c r="E7" s="27" t="n">
        <f aca="false">P05!F71</f>
        <v>1</v>
      </c>
      <c r="F7" s="28" t="n">
        <f aca="false">P05!F74</f>
        <v>30</v>
      </c>
      <c r="G7" s="29" t="n">
        <f aca="false">P05!I47</f>
        <v>11993.78</v>
      </c>
      <c r="H7" s="29" t="n">
        <f aca="false">P05!F72</f>
        <v>0</v>
      </c>
      <c r="I7" s="29" t="n">
        <f aca="false">P05!H47</f>
        <v>11993.78</v>
      </c>
      <c r="J7" s="29" t="n">
        <f aca="false">P05!F83</f>
        <v>0</v>
      </c>
      <c r="K7" s="29" t="n">
        <f aca="false">P05!F84</f>
        <v>0</v>
      </c>
      <c r="L7" s="30" t="n">
        <f aca="false">P05!F77</f>
        <v>11993.78</v>
      </c>
    </row>
    <row r="8" customFormat="false" ht="15" hidden="false" customHeight="false" outlineLevel="0" collapsed="false">
      <c r="A8" s="23" t="s">
        <v>157</v>
      </c>
      <c r="B8" s="25" t="str">
        <f aca="false">P06!B7</f>
        <v>(informe o período inicial na aba Dados)</v>
      </c>
      <c r="C8" s="26" t="n">
        <f aca="false">P06!D28</f>
        <v>9</v>
      </c>
      <c r="D8" s="23" t="str">
        <f aca="false">P06!F28</f>
        <v>A</v>
      </c>
      <c r="E8" s="27" t="n">
        <f aca="false">P06!F71</f>
        <v>1</v>
      </c>
      <c r="F8" s="28" t="n">
        <f aca="false">P06!F74</f>
        <v>30</v>
      </c>
      <c r="G8" s="29" t="n">
        <f aca="false">P06!I47</f>
        <v>11993.78</v>
      </c>
      <c r="H8" s="29" t="n">
        <f aca="false">P06!F72</f>
        <v>0</v>
      </c>
      <c r="I8" s="29" t="n">
        <f aca="false">P06!H47</f>
        <v>11993.78</v>
      </c>
      <c r="J8" s="29" t="n">
        <f aca="false">P06!F83</f>
        <v>0</v>
      </c>
      <c r="K8" s="29" t="n">
        <f aca="false">P06!F84</f>
        <v>0</v>
      </c>
      <c r="L8" s="30" t="n">
        <f aca="false">P06!F77</f>
        <v>11993.78</v>
      </c>
    </row>
    <row r="9" customFormat="false" ht="15" hidden="false" customHeight="false" outlineLevel="0" collapsed="false">
      <c r="A9" s="23" t="s">
        <v>158</v>
      </c>
      <c r="B9" s="25" t="str">
        <f aca="false">P07!B7</f>
        <v>(informe o período inicial na aba Dados)</v>
      </c>
      <c r="C9" s="26" t="n">
        <f aca="false">P07!D28</f>
        <v>9</v>
      </c>
      <c r="D9" s="23" t="str">
        <f aca="false">P07!F28</f>
        <v>A</v>
      </c>
      <c r="E9" s="27" t="n">
        <f aca="false">P07!F71</f>
        <v>1</v>
      </c>
      <c r="F9" s="28" t="n">
        <f aca="false">P07!F74</f>
        <v>30</v>
      </c>
      <c r="G9" s="29" t="n">
        <f aca="false">P07!I47</f>
        <v>11993.78</v>
      </c>
      <c r="H9" s="29" t="n">
        <f aca="false">P07!F72</f>
        <v>0</v>
      </c>
      <c r="I9" s="29" t="n">
        <f aca="false">P07!H47</f>
        <v>11993.78</v>
      </c>
      <c r="J9" s="29" t="n">
        <f aca="false">P07!F83</f>
        <v>0</v>
      </c>
      <c r="K9" s="29" t="n">
        <f aca="false">P07!F84</f>
        <v>0</v>
      </c>
      <c r="L9" s="30" t="n">
        <f aca="false">P07!F77</f>
        <v>11993.78</v>
      </c>
    </row>
    <row r="10" customFormat="false" ht="15" hidden="false" customHeight="false" outlineLevel="0" collapsed="false">
      <c r="A10" s="23" t="s">
        <v>159</v>
      </c>
      <c r="B10" s="25" t="str">
        <f aca="false">P08!B7</f>
        <v>(informe o período inicial na aba Dados)</v>
      </c>
      <c r="C10" s="26" t="n">
        <f aca="false">P08!D28</f>
        <v>9</v>
      </c>
      <c r="D10" s="23" t="str">
        <f aca="false">P08!F28</f>
        <v>A</v>
      </c>
      <c r="E10" s="27" t="n">
        <f aca="false">P08!F71</f>
        <v>1</v>
      </c>
      <c r="F10" s="28" t="n">
        <f aca="false">P08!F74</f>
        <v>30</v>
      </c>
      <c r="G10" s="29" t="n">
        <f aca="false">P08!I47</f>
        <v>11993.78</v>
      </c>
      <c r="H10" s="29" t="n">
        <f aca="false">P08!F72</f>
        <v>0</v>
      </c>
      <c r="I10" s="29" t="n">
        <f aca="false">P08!H47</f>
        <v>11993.78</v>
      </c>
      <c r="J10" s="29" t="n">
        <f aca="false">P08!F83</f>
        <v>0</v>
      </c>
      <c r="K10" s="29" t="n">
        <f aca="false">P08!F84</f>
        <v>0</v>
      </c>
      <c r="L10" s="30" t="n">
        <f aca="false">P08!F77</f>
        <v>11993.78</v>
      </c>
    </row>
    <row r="11" customFormat="false" ht="15" hidden="false" customHeight="false" outlineLevel="0" collapsed="false">
      <c r="A11" s="23" t="s">
        <v>160</v>
      </c>
      <c r="B11" s="25" t="str">
        <f aca="false">P09!B7</f>
        <v>(informe o período inicial na aba Dados)</v>
      </c>
      <c r="C11" s="26" t="n">
        <f aca="false">P09!D28</f>
        <v>9</v>
      </c>
      <c r="D11" s="23" t="str">
        <f aca="false">P09!F28</f>
        <v>A</v>
      </c>
      <c r="E11" s="27" t="n">
        <f aca="false">P09!F71</f>
        <v>1</v>
      </c>
      <c r="F11" s="28" t="n">
        <f aca="false">P09!F74</f>
        <v>30</v>
      </c>
      <c r="G11" s="29" t="n">
        <f aca="false">P09!I47</f>
        <v>11993.78</v>
      </c>
      <c r="H11" s="29" t="n">
        <f aca="false">P09!F72</f>
        <v>0</v>
      </c>
      <c r="I11" s="29" t="n">
        <f aca="false">P09!H47</f>
        <v>11993.78</v>
      </c>
      <c r="J11" s="29" t="n">
        <f aca="false">P09!F83</f>
        <v>0</v>
      </c>
      <c r="K11" s="29" t="n">
        <f aca="false">P09!F84</f>
        <v>0</v>
      </c>
      <c r="L11" s="30" t="n">
        <f aca="false">P09!F77</f>
        <v>11993.78</v>
      </c>
    </row>
    <row r="12" customFormat="false" ht="15" hidden="false" customHeight="false" outlineLevel="0" collapsed="false">
      <c r="A12" s="23" t="s">
        <v>161</v>
      </c>
      <c r="B12" s="25" t="str">
        <f aca="false">P10!B7</f>
        <v>(informe o período inicial na aba Dados)</v>
      </c>
      <c r="C12" s="26" t="n">
        <f aca="false">P10!D28</f>
        <v>9</v>
      </c>
      <c r="D12" s="23" t="str">
        <f aca="false">P10!F28</f>
        <v>A</v>
      </c>
      <c r="E12" s="27" t="n">
        <f aca="false">P10!F71</f>
        <v>1</v>
      </c>
      <c r="F12" s="28" t="n">
        <f aca="false">P10!F74</f>
        <v>30</v>
      </c>
      <c r="G12" s="29" t="n">
        <f aca="false">P10!I47</f>
        <v>11993.78</v>
      </c>
      <c r="H12" s="29" t="n">
        <f aca="false">P10!F72</f>
        <v>0</v>
      </c>
      <c r="I12" s="29" t="n">
        <f aca="false">P10!H47</f>
        <v>11993.78</v>
      </c>
      <c r="J12" s="29" t="n">
        <f aca="false">P10!F83</f>
        <v>0</v>
      </c>
      <c r="K12" s="29" t="n">
        <f aca="false">P10!F84</f>
        <v>0</v>
      </c>
      <c r="L12" s="30" t="n">
        <f aca="false">P10!F77</f>
        <v>11993.78</v>
      </c>
    </row>
    <row r="13" customFormat="false" ht="15" hidden="false" customHeight="false" outlineLevel="0" collapsed="false">
      <c r="A13" s="23" t="s">
        <v>162</v>
      </c>
      <c r="B13" s="25" t="str">
        <f aca="false">P11!B7</f>
        <v>(informe o período inicial na aba Dados)</v>
      </c>
      <c r="C13" s="26" t="n">
        <f aca="false">P11!D28</f>
        <v>9</v>
      </c>
      <c r="D13" s="23" t="str">
        <f aca="false">P11!F28</f>
        <v>A</v>
      </c>
      <c r="E13" s="27" t="n">
        <f aca="false">P11!F71</f>
        <v>1</v>
      </c>
      <c r="F13" s="28" t="n">
        <f aca="false">P11!F74</f>
        <v>30</v>
      </c>
      <c r="G13" s="29" t="n">
        <f aca="false">P11!I47</f>
        <v>11993.78</v>
      </c>
      <c r="H13" s="29" t="n">
        <f aca="false">P11!F72</f>
        <v>0</v>
      </c>
      <c r="I13" s="29" t="n">
        <f aca="false">P11!H47</f>
        <v>11993.78</v>
      </c>
      <c r="J13" s="29" t="n">
        <f aca="false">P11!F83</f>
        <v>0</v>
      </c>
      <c r="K13" s="29" t="n">
        <f aca="false">P11!F84</f>
        <v>0</v>
      </c>
      <c r="L13" s="30" t="n">
        <f aca="false">P11!F77</f>
        <v>11993.78</v>
      </c>
    </row>
    <row r="14" customFormat="false" ht="15" hidden="false" customHeight="false" outlineLevel="0" collapsed="false">
      <c r="A14" s="23" t="s">
        <v>163</v>
      </c>
      <c r="B14" s="25" t="str">
        <f aca="false">P12!B7</f>
        <v>(informe o período inicial na aba Dados)</v>
      </c>
      <c r="C14" s="26" t="n">
        <f aca="false">P12!D28</f>
        <v>9</v>
      </c>
      <c r="D14" s="23" t="str">
        <f aca="false">P12!F28</f>
        <v>A</v>
      </c>
      <c r="E14" s="27" t="n">
        <f aca="false">P12!F71</f>
        <v>1</v>
      </c>
      <c r="F14" s="28" t="n">
        <f aca="false">P12!F74</f>
        <v>30</v>
      </c>
      <c r="G14" s="29" t="n">
        <f aca="false">P12!I47</f>
        <v>11993.78</v>
      </c>
      <c r="H14" s="29" t="n">
        <f aca="false">P12!F72</f>
        <v>0</v>
      </c>
      <c r="I14" s="29" t="n">
        <f aca="false">P12!H47</f>
        <v>11993.78</v>
      </c>
      <c r="J14" s="29" t="n">
        <f aca="false">P12!F83</f>
        <v>0</v>
      </c>
      <c r="K14" s="29" t="n">
        <f aca="false">P12!F84</f>
        <v>0</v>
      </c>
      <c r="L14" s="30" t="n">
        <f aca="false">P12!F77</f>
        <v>11993.78</v>
      </c>
    </row>
    <row r="15" customFormat="false" ht="15" hidden="false" customHeight="false" outlineLevel="0" collapsed="false">
      <c r="A15" s="23" t="s">
        <v>164</v>
      </c>
      <c r="B15" s="25" t="str">
        <f aca="false">P13!B7</f>
        <v>(informe o período inicial na aba Dados)</v>
      </c>
      <c r="C15" s="26" t="n">
        <f aca="false">P13!D28</f>
        <v>9</v>
      </c>
      <c r="D15" s="23" t="str">
        <f aca="false">P13!F28</f>
        <v>A</v>
      </c>
      <c r="E15" s="27" t="n">
        <f aca="false">P13!F71</f>
        <v>1</v>
      </c>
      <c r="F15" s="28" t="n">
        <f aca="false">P13!F74</f>
        <v>30</v>
      </c>
      <c r="G15" s="29" t="n">
        <f aca="false">P13!I47</f>
        <v>11993.78</v>
      </c>
      <c r="H15" s="29" t="n">
        <f aca="false">P13!F72</f>
        <v>0</v>
      </c>
      <c r="I15" s="29" t="n">
        <f aca="false">P13!H47</f>
        <v>11993.78</v>
      </c>
      <c r="J15" s="29" t="n">
        <f aca="false">P13!F83</f>
        <v>0</v>
      </c>
      <c r="K15" s="29" t="n">
        <f aca="false">P13!F84</f>
        <v>0</v>
      </c>
      <c r="L15" s="30" t="n">
        <f aca="false">P13!F77</f>
        <v>11993.78</v>
      </c>
    </row>
    <row r="16" customFormat="false" ht="15" hidden="false" customHeight="false" outlineLevel="0" collapsed="false">
      <c r="A16" s="23" t="s">
        <v>165</v>
      </c>
      <c r="B16" s="25" t="str">
        <f aca="false">P14!B7</f>
        <v>(informe o período inicial na aba Dados)</v>
      </c>
      <c r="C16" s="26" t="n">
        <f aca="false">P14!D28</f>
        <v>9</v>
      </c>
      <c r="D16" s="23" t="str">
        <f aca="false">P14!F28</f>
        <v>A</v>
      </c>
      <c r="E16" s="27" t="n">
        <f aca="false">P14!F71</f>
        <v>1</v>
      </c>
      <c r="F16" s="28" t="n">
        <f aca="false">P14!F74</f>
        <v>30</v>
      </c>
      <c r="G16" s="29" t="n">
        <f aca="false">P14!I47</f>
        <v>11993.78</v>
      </c>
      <c r="H16" s="29" t="n">
        <f aca="false">P14!F72</f>
        <v>0</v>
      </c>
      <c r="I16" s="29" t="n">
        <f aca="false">P14!H47</f>
        <v>11993.78</v>
      </c>
      <c r="J16" s="29" t="n">
        <f aca="false">P14!F83</f>
        <v>0</v>
      </c>
      <c r="K16" s="29" t="n">
        <f aca="false">P14!F84</f>
        <v>0</v>
      </c>
      <c r="L16" s="30" t="n">
        <f aca="false">P14!F77</f>
        <v>11993.78</v>
      </c>
    </row>
    <row r="17" customFormat="false" ht="15" hidden="false" customHeight="false" outlineLevel="0" collapsed="false">
      <c r="A17" s="23" t="s">
        <v>166</v>
      </c>
      <c r="B17" s="25" t="str">
        <f aca="false">P15!B7</f>
        <v>(informe o período inicial na aba Dados)</v>
      </c>
      <c r="C17" s="26" t="n">
        <f aca="false">P15!D28</f>
        <v>9</v>
      </c>
      <c r="D17" s="23" t="str">
        <f aca="false">P15!F28</f>
        <v>A</v>
      </c>
      <c r="E17" s="27" t="n">
        <f aca="false">P15!F71</f>
        <v>1</v>
      </c>
      <c r="F17" s="28" t="n">
        <f aca="false">P15!F74</f>
        <v>30</v>
      </c>
      <c r="G17" s="29" t="n">
        <f aca="false">P15!I47</f>
        <v>11993.78</v>
      </c>
      <c r="H17" s="29" t="n">
        <f aca="false">P15!F72</f>
        <v>0</v>
      </c>
      <c r="I17" s="29" t="n">
        <f aca="false">P15!H47</f>
        <v>11993.78</v>
      </c>
      <c r="J17" s="29" t="n">
        <f aca="false">P15!F83</f>
        <v>0</v>
      </c>
      <c r="K17" s="29" t="n">
        <f aca="false">P15!F84</f>
        <v>0</v>
      </c>
      <c r="L17" s="30" t="n">
        <f aca="false">P15!F77</f>
        <v>11993.78</v>
      </c>
    </row>
    <row r="18" customFormat="false" ht="15" hidden="false" customHeight="false" outlineLevel="0" collapsed="false">
      <c r="A18" s="23" t="s">
        <v>167</v>
      </c>
      <c r="B18" s="25" t="str">
        <f aca="false">P16!B7</f>
        <v>(informe o período inicial na aba Dados)</v>
      </c>
      <c r="C18" s="26" t="n">
        <f aca="false">P16!D28</f>
        <v>9</v>
      </c>
      <c r="D18" s="23" t="str">
        <f aca="false">P16!F28</f>
        <v>A</v>
      </c>
      <c r="E18" s="27" t="n">
        <f aca="false">P16!F71</f>
        <v>1</v>
      </c>
      <c r="F18" s="28" t="n">
        <f aca="false">P16!F74</f>
        <v>30</v>
      </c>
      <c r="G18" s="29" t="n">
        <f aca="false">P16!I47</f>
        <v>11993.78</v>
      </c>
      <c r="H18" s="29" t="n">
        <f aca="false">P16!F72</f>
        <v>0</v>
      </c>
      <c r="I18" s="29" t="n">
        <f aca="false">P16!H47</f>
        <v>11993.78</v>
      </c>
      <c r="J18" s="29" t="n">
        <f aca="false">P16!F83</f>
        <v>0</v>
      </c>
      <c r="K18" s="29" t="n">
        <f aca="false">P16!F84</f>
        <v>0</v>
      </c>
      <c r="L18" s="30" t="n">
        <f aca="false">P16!F77</f>
        <v>11993.78</v>
      </c>
    </row>
    <row r="19" customFormat="false" ht="15" hidden="false" customHeight="false" outlineLevel="0" collapsed="false">
      <c r="A19" s="23" t="s">
        <v>168</v>
      </c>
      <c r="B19" s="25" t="str">
        <f aca="false">P17!B7</f>
        <v>(informe o período inicial na aba Dados)</v>
      </c>
      <c r="C19" s="26" t="n">
        <f aca="false">P17!D28</f>
        <v>9</v>
      </c>
      <c r="D19" s="23" t="str">
        <f aca="false">P17!F28</f>
        <v>A</v>
      </c>
      <c r="E19" s="27" t="n">
        <f aca="false">P17!F71</f>
        <v>1</v>
      </c>
      <c r="F19" s="28" t="n">
        <f aca="false">P17!F74</f>
        <v>30</v>
      </c>
      <c r="G19" s="29" t="n">
        <f aca="false">P17!I47</f>
        <v>11993.78</v>
      </c>
      <c r="H19" s="29" t="n">
        <f aca="false">P17!F72</f>
        <v>0</v>
      </c>
      <c r="I19" s="29" t="n">
        <f aca="false">P17!H47</f>
        <v>11993.78</v>
      </c>
      <c r="J19" s="29" t="n">
        <f aca="false">P17!F83</f>
        <v>0</v>
      </c>
      <c r="K19" s="29" t="n">
        <f aca="false">P17!F84</f>
        <v>0</v>
      </c>
      <c r="L19" s="30" t="n">
        <f aca="false">P17!F77</f>
        <v>11993.78</v>
      </c>
    </row>
    <row r="20" customFormat="false" ht="15" hidden="false" customHeight="false" outlineLevel="0" collapsed="false">
      <c r="A20" s="23" t="s">
        <v>169</v>
      </c>
      <c r="B20" s="25" t="str">
        <f aca="false">P18!B7</f>
        <v>(informe o período inicial na aba Dados)</v>
      </c>
      <c r="C20" s="26" t="n">
        <f aca="false">P18!D28</f>
        <v>9</v>
      </c>
      <c r="D20" s="23" t="str">
        <f aca="false">P18!F28</f>
        <v>A</v>
      </c>
      <c r="E20" s="27" t="n">
        <f aca="false">P18!F71</f>
        <v>1</v>
      </c>
      <c r="F20" s="28" t="n">
        <f aca="false">P18!F74</f>
        <v>30</v>
      </c>
      <c r="G20" s="29" t="n">
        <f aca="false">P18!I47</f>
        <v>11993.78</v>
      </c>
      <c r="H20" s="29" t="n">
        <f aca="false">P18!F72</f>
        <v>0</v>
      </c>
      <c r="I20" s="29" t="n">
        <f aca="false">P18!H47</f>
        <v>11993.78</v>
      </c>
      <c r="J20" s="29" t="n">
        <f aca="false">P18!F83</f>
        <v>0</v>
      </c>
      <c r="K20" s="29" t="n">
        <f aca="false">P18!F84</f>
        <v>0</v>
      </c>
      <c r="L20" s="30" t="n">
        <f aca="false">P18!F77</f>
        <v>11993.78</v>
      </c>
    </row>
    <row r="21" customFormat="false" ht="15" hidden="false" customHeight="false" outlineLevel="0" collapsed="false">
      <c r="A21" s="23" t="s">
        <v>170</v>
      </c>
      <c r="B21" s="25" t="str">
        <f aca="false">P19!B7</f>
        <v>(informe o período inicial na aba Dados)</v>
      </c>
      <c r="C21" s="26" t="n">
        <f aca="false">P19!D28</f>
        <v>9</v>
      </c>
      <c r="D21" s="23" t="str">
        <f aca="false">P19!F28</f>
        <v>A</v>
      </c>
      <c r="E21" s="27" t="n">
        <f aca="false">P19!F71</f>
        <v>1</v>
      </c>
      <c r="F21" s="28" t="n">
        <f aca="false">P19!F74</f>
        <v>30</v>
      </c>
      <c r="G21" s="29" t="n">
        <f aca="false">P19!I47</f>
        <v>11993.78</v>
      </c>
      <c r="H21" s="29" t="n">
        <f aca="false">P19!F72</f>
        <v>0</v>
      </c>
      <c r="I21" s="29" t="n">
        <f aca="false">P19!H47</f>
        <v>11993.78</v>
      </c>
      <c r="J21" s="29" t="n">
        <f aca="false">P19!F83</f>
        <v>0</v>
      </c>
      <c r="K21" s="29" t="n">
        <f aca="false">P19!F84</f>
        <v>0</v>
      </c>
      <c r="L21" s="30" t="n">
        <f aca="false">P19!F77</f>
        <v>11993.78</v>
      </c>
    </row>
    <row r="22" customFormat="false" ht="15" hidden="false" customHeight="false" outlineLevel="0" collapsed="false">
      <c r="A22" s="23" t="s">
        <v>171</v>
      </c>
      <c r="B22" s="25" t="str">
        <f aca="false">P20!B7</f>
        <v>(informe o período inicial na aba Dados)</v>
      </c>
      <c r="C22" s="26" t="n">
        <f aca="false">P20!D28</f>
        <v>9</v>
      </c>
      <c r="D22" s="23" t="str">
        <f aca="false">P20!F28</f>
        <v>A</v>
      </c>
      <c r="E22" s="27" t="n">
        <f aca="false">P20!F71</f>
        <v>1</v>
      </c>
      <c r="F22" s="28" t="n">
        <f aca="false">P20!F74</f>
        <v>30</v>
      </c>
      <c r="G22" s="29" t="n">
        <f aca="false">P20!I47</f>
        <v>11993.78</v>
      </c>
      <c r="H22" s="29" t="n">
        <f aca="false">P20!F72</f>
        <v>0</v>
      </c>
      <c r="I22" s="29" t="n">
        <f aca="false">P20!H47</f>
        <v>11993.78</v>
      </c>
      <c r="J22" s="29" t="n">
        <f aca="false">P20!F83</f>
        <v>0</v>
      </c>
      <c r="K22" s="29" t="n">
        <f aca="false">P20!F84</f>
        <v>0</v>
      </c>
      <c r="L22" s="30" t="n">
        <f aca="false">P20!F77</f>
        <v>11993.78</v>
      </c>
    </row>
    <row r="23" customFormat="false" ht="15" hidden="false" customHeight="false" outlineLevel="0" collapsed="false">
      <c r="A23" s="23" t="s">
        <v>172</v>
      </c>
      <c r="B23" s="25" t="str">
        <f aca="false">P21!B7</f>
        <v>(informe o período inicial na aba Dados)</v>
      </c>
      <c r="C23" s="26" t="n">
        <f aca="false">P21!D28</f>
        <v>9</v>
      </c>
      <c r="D23" s="23" t="str">
        <f aca="false">P21!F28</f>
        <v>A</v>
      </c>
      <c r="E23" s="27" t="n">
        <f aca="false">P21!F71</f>
        <v>1</v>
      </c>
      <c r="F23" s="28" t="n">
        <f aca="false">P21!F74</f>
        <v>30</v>
      </c>
      <c r="G23" s="29" t="n">
        <f aca="false">P21!I47</f>
        <v>11993.78</v>
      </c>
      <c r="H23" s="29" t="n">
        <f aca="false">P21!F72</f>
        <v>0</v>
      </c>
      <c r="I23" s="29" t="n">
        <f aca="false">P21!H47</f>
        <v>11993.78</v>
      </c>
      <c r="J23" s="29" t="n">
        <f aca="false">P21!F83</f>
        <v>0</v>
      </c>
      <c r="K23" s="29" t="n">
        <f aca="false">P21!F84</f>
        <v>0</v>
      </c>
      <c r="L23" s="30" t="n">
        <f aca="false">P21!F77</f>
        <v>11993.78</v>
      </c>
    </row>
    <row r="24" customFormat="false" ht="15" hidden="false" customHeight="false" outlineLevel="0" collapsed="false">
      <c r="A24" s="23" t="s">
        <v>173</v>
      </c>
      <c r="B24" s="25" t="str">
        <f aca="false">P22!B7</f>
        <v>(informe o período inicial na aba Dados)</v>
      </c>
      <c r="C24" s="26" t="n">
        <f aca="false">P22!D28</f>
        <v>9</v>
      </c>
      <c r="D24" s="23" t="str">
        <f aca="false">P22!F28</f>
        <v>A</v>
      </c>
      <c r="E24" s="27" t="n">
        <f aca="false">P22!F71</f>
        <v>1</v>
      </c>
      <c r="F24" s="28" t="n">
        <f aca="false">P22!F74</f>
        <v>30</v>
      </c>
      <c r="G24" s="29" t="n">
        <f aca="false">P22!I47</f>
        <v>11993.78</v>
      </c>
      <c r="H24" s="29" t="n">
        <f aca="false">P22!F72</f>
        <v>0</v>
      </c>
      <c r="I24" s="29" t="n">
        <f aca="false">P22!H47</f>
        <v>11993.78</v>
      </c>
      <c r="J24" s="29" t="n">
        <f aca="false">P22!F83</f>
        <v>0</v>
      </c>
      <c r="K24" s="29" t="n">
        <f aca="false">P22!F84</f>
        <v>0</v>
      </c>
      <c r="L24" s="30" t="n">
        <f aca="false">P22!F77</f>
        <v>11993.78</v>
      </c>
    </row>
    <row r="25" customFormat="false" ht="15" hidden="false" customHeight="false" outlineLevel="0" collapsed="false">
      <c r="A25" s="23" t="s">
        <v>174</v>
      </c>
      <c r="B25" s="25" t="str">
        <f aca="false">P23!B7</f>
        <v>(informe o período inicial na aba Dados)</v>
      </c>
      <c r="C25" s="26" t="n">
        <f aca="false">P23!D28</f>
        <v>9</v>
      </c>
      <c r="D25" s="23" t="str">
        <f aca="false">P23!F28</f>
        <v>A</v>
      </c>
      <c r="E25" s="27" t="n">
        <f aca="false">P23!F71</f>
        <v>1</v>
      </c>
      <c r="F25" s="28" t="n">
        <f aca="false">P23!F74</f>
        <v>30</v>
      </c>
      <c r="G25" s="29" t="n">
        <f aca="false">P23!I47</f>
        <v>11993.78</v>
      </c>
      <c r="H25" s="29" t="n">
        <f aca="false">P23!F72</f>
        <v>0</v>
      </c>
      <c r="I25" s="29" t="n">
        <f aca="false">P23!H47</f>
        <v>11993.78</v>
      </c>
      <c r="J25" s="29" t="n">
        <f aca="false">P23!F83</f>
        <v>0</v>
      </c>
      <c r="K25" s="29" t="n">
        <f aca="false">P23!F84</f>
        <v>0</v>
      </c>
      <c r="L25" s="30" t="n">
        <f aca="false">P23!F77</f>
        <v>11993.78</v>
      </c>
    </row>
    <row r="26" customFormat="false" ht="15" hidden="false" customHeight="false" outlineLevel="0" collapsed="false">
      <c r="A26" s="23" t="s">
        <v>175</v>
      </c>
      <c r="B26" s="25" t="str">
        <f aca="false">P24!B7</f>
        <v>(informe o período inicial na aba Dados)</v>
      </c>
      <c r="C26" s="26" t="n">
        <f aca="false">P24!D28</f>
        <v>9</v>
      </c>
      <c r="D26" s="23" t="str">
        <f aca="false">P24!F28</f>
        <v>A</v>
      </c>
      <c r="E26" s="27" t="n">
        <f aca="false">P24!F71</f>
        <v>1</v>
      </c>
      <c r="F26" s="28" t="n">
        <f aca="false">P24!F74</f>
        <v>30</v>
      </c>
      <c r="G26" s="29" t="n">
        <f aca="false">P24!I47</f>
        <v>11993.78</v>
      </c>
      <c r="H26" s="29" t="n">
        <f aca="false">P24!F72</f>
        <v>0</v>
      </c>
      <c r="I26" s="29" t="n">
        <f aca="false">P24!H47</f>
        <v>11993.78</v>
      </c>
      <c r="J26" s="29" t="n">
        <f aca="false">P24!F83</f>
        <v>0</v>
      </c>
      <c r="K26" s="29" t="n">
        <f aca="false">P24!F84</f>
        <v>0</v>
      </c>
      <c r="L26" s="30" t="n">
        <f aca="false">P24!F77</f>
        <v>11993.78</v>
      </c>
    </row>
    <row r="27" customFormat="false" ht="15" hidden="false" customHeight="false" outlineLevel="0" collapsed="false">
      <c r="A27" s="23" t="s">
        <v>176</v>
      </c>
      <c r="B27" s="25" t="str">
        <f aca="false">P25!B7</f>
        <v>(informe o período inicial na aba Dados)</v>
      </c>
      <c r="C27" s="26" t="n">
        <f aca="false">P25!D28</f>
        <v>9</v>
      </c>
      <c r="D27" s="23" t="str">
        <f aca="false">P25!F28</f>
        <v>A</v>
      </c>
      <c r="E27" s="27" t="n">
        <f aca="false">P25!F71</f>
        <v>1</v>
      </c>
      <c r="F27" s="28" t="n">
        <f aca="false">P25!F74</f>
        <v>30</v>
      </c>
      <c r="G27" s="29" t="n">
        <f aca="false">P25!I47</f>
        <v>11993.78</v>
      </c>
      <c r="H27" s="29" t="n">
        <f aca="false">P25!F72</f>
        <v>0</v>
      </c>
      <c r="I27" s="29" t="n">
        <f aca="false">P25!H47</f>
        <v>11993.78</v>
      </c>
      <c r="J27" s="29" t="n">
        <f aca="false">P25!F83</f>
        <v>0</v>
      </c>
      <c r="K27" s="29" t="n">
        <f aca="false">P25!F84</f>
        <v>0</v>
      </c>
      <c r="L27" s="30" t="n">
        <f aca="false">P25!F77</f>
        <v>11993.78</v>
      </c>
    </row>
    <row r="28" customFormat="false" ht="15" hidden="false" customHeight="false" outlineLevel="0" collapsed="false">
      <c r="A28" s="23" t="s">
        <v>177</v>
      </c>
      <c r="B28" s="25" t="str">
        <f aca="false">P26!B7</f>
        <v>(informe o período inicial na aba Dados)</v>
      </c>
      <c r="C28" s="26" t="n">
        <f aca="false">P26!D28</f>
        <v>9</v>
      </c>
      <c r="D28" s="23" t="str">
        <f aca="false">P26!F28</f>
        <v>A</v>
      </c>
      <c r="E28" s="27" t="n">
        <f aca="false">P26!F71</f>
        <v>1</v>
      </c>
      <c r="F28" s="28" t="n">
        <f aca="false">P26!F74</f>
        <v>30</v>
      </c>
      <c r="G28" s="29" t="n">
        <f aca="false">P26!I47</f>
        <v>11993.78</v>
      </c>
      <c r="H28" s="29" t="n">
        <f aca="false">P26!F72</f>
        <v>0</v>
      </c>
      <c r="I28" s="29" t="n">
        <f aca="false">P26!H47</f>
        <v>11993.78</v>
      </c>
      <c r="J28" s="29" t="n">
        <f aca="false">P26!F83</f>
        <v>0</v>
      </c>
      <c r="K28" s="29" t="n">
        <f aca="false">P26!F84</f>
        <v>0</v>
      </c>
      <c r="L28" s="30" t="n">
        <f aca="false">P26!F77</f>
        <v>11993.78</v>
      </c>
    </row>
    <row r="29" customFormat="false" ht="15" hidden="false" customHeight="false" outlineLevel="0" collapsed="false">
      <c r="A29" s="23" t="s">
        <v>178</v>
      </c>
      <c r="B29" s="25" t="str">
        <f aca="false">P27!B7</f>
        <v>(informe o período inicial na aba Dados)</v>
      </c>
      <c r="C29" s="26" t="n">
        <f aca="false">P27!D28</f>
        <v>9</v>
      </c>
      <c r="D29" s="23" t="str">
        <f aca="false">P27!F28</f>
        <v>A</v>
      </c>
      <c r="E29" s="27" t="n">
        <f aca="false">P27!F71</f>
        <v>1</v>
      </c>
      <c r="F29" s="28" t="n">
        <f aca="false">P27!F74</f>
        <v>30</v>
      </c>
      <c r="G29" s="29" t="n">
        <f aca="false">P27!I47</f>
        <v>11993.78</v>
      </c>
      <c r="H29" s="29" t="n">
        <f aca="false">P27!F72</f>
        <v>0</v>
      </c>
      <c r="I29" s="29" t="n">
        <f aca="false">P27!H47</f>
        <v>11993.78</v>
      </c>
      <c r="J29" s="29" t="n">
        <f aca="false">P27!F83</f>
        <v>0</v>
      </c>
      <c r="K29" s="29" t="n">
        <f aca="false">P27!F84</f>
        <v>0</v>
      </c>
      <c r="L29" s="30" t="n">
        <f aca="false">P27!F77</f>
        <v>11993.78</v>
      </c>
    </row>
    <row r="30" customFormat="false" ht="15" hidden="false" customHeight="false" outlineLevel="0" collapsed="false">
      <c r="A30" s="23" t="s">
        <v>179</v>
      </c>
      <c r="B30" s="25" t="str">
        <f aca="false">P28!B7</f>
        <v>(informe o período inicial na aba Dados)</v>
      </c>
      <c r="C30" s="26" t="n">
        <f aca="false">P28!D28</f>
        <v>9</v>
      </c>
      <c r="D30" s="23" t="str">
        <f aca="false">P28!F28</f>
        <v>A</v>
      </c>
      <c r="E30" s="27" t="n">
        <f aca="false">P28!F71</f>
        <v>1</v>
      </c>
      <c r="F30" s="28" t="n">
        <f aca="false">P28!F74</f>
        <v>30</v>
      </c>
      <c r="G30" s="29" t="n">
        <f aca="false">P28!I47</f>
        <v>11993.78</v>
      </c>
      <c r="H30" s="29" t="n">
        <f aca="false">P28!F72</f>
        <v>0</v>
      </c>
      <c r="I30" s="29" t="n">
        <f aca="false">P28!H47</f>
        <v>11993.78</v>
      </c>
      <c r="J30" s="29" t="n">
        <f aca="false">P28!F83</f>
        <v>0</v>
      </c>
      <c r="K30" s="29" t="n">
        <f aca="false">P28!F84</f>
        <v>0</v>
      </c>
      <c r="L30" s="30" t="n">
        <f aca="false">P28!F77</f>
        <v>11993.78</v>
      </c>
    </row>
    <row r="31" customFormat="false" ht="15" hidden="false" customHeight="false" outlineLevel="0" collapsed="false">
      <c r="A31" s="23" t="s">
        <v>180</v>
      </c>
      <c r="B31" s="25" t="str">
        <f aca="false">P29!B7</f>
        <v>(informe o período inicial na aba Dados)</v>
      </c>
      <c r="C31" s="26" t="n">
        <f aca="false">P29!D28</f>
        <v>9</v>
      </c>
      <c r="D31" s="23" t="str">
        <f aca="false">P29!F28</f>
        <v>A</v>
      </c>
      <c r="E31" s="27" t="n">
        <f aca="false">P29!F71</f>
        <v>1</v>
      </c>
      <c r="F31" s="28" t="n">
        <f aca="false">P29!F74</f>
        <v>30</v>
      </c>
      <c r="G31" s="29" t="n">
        <f aca="false">P29!I47</f>
        <v>11993.78</v>
      </c>
      <c r="H31" s="29" t="n">
        <f aca="false">P29!F72</f>
        <v>0</v>
      </c>
      <c r="I31" s="29" t="n">
        <f aca="false">P29!H47</f>
        <v>11993.78</v>
      </c>
      <c r="J31" s="29" t="n">
        <f aca="false">P29!F83</f>
        <v>0</v>
      </c>
      <c r="K31" s="29" t="n">
        <f aca="false">P29!F84</f>
        <v>0</v>
      </c>
      <c r="L31" s="30" t="n">
        <f aca="false">P29!F77</f>
        <v>11993.78</v>
      </c>
    </row>
    <row r="32" customFormat="false" ht="15" hidden="false" customHeight="false" outlineLevel="0" collapsed="false">
      <c r="A32" s="23" t="s">
        <v>181</v>
      </c>
      <c r="B32" s="25" t="str">
        <f aca="false">P30!B7</f>
        <v>(informe o período inicial na aba Dados)</v>
      </c>
      <c r="C32" s="26" t="n">
        <f aca="false">P30!D28</f>
        <v>9</v>
      </c>
      <c r="D32" s="23" t="str">
        <f aca="false">P30!F28</f>
        <v>A</v>
      </c>
      <c r="E32" s="27" t="n">
        <f aca="false">P30!F71</f>
        <v>1</v>
      </c>
      <c r="F32" s="28" t="n">
        <f aca="false">P30!F74</f>
        <v>30</v>
      </c>
      <c r="G32" s="29" t="n">
        <f aca="false">P30!I47</f>
        <v>11993.78</v>
      </c>
      <c r="H32" s="29" t="n">
        <f aca="false">P30!F72</f>
        <v>0</v>
      </c>
      <c r="I32" s="29" t="n">
        <f aca="false">P30!H47</f>
        <v>11993.78</v>
      </c>
      <c r="J32" s="29" t="n">
        <f aca="false">P30!F83</f>
        <v>0</v>
      </c>
      <c r="K32" s="29" t="n">
        <f aca="false">P30!F84</f>
        <v>0</v>
      </c>
      <c r="L32" s="30" t="n">
        <f aca="false">P30!F77</f>
        <v>11993.78</v>
      </c>
    </row>
    <row r="33" customFormat="false" ht="15" hidden="false" customHeight="false" outlineLevel="0" collapsed="false">
      <c r="A33" s="23" t="s">
        <v>182</v>
      </c>
      <c r="B33" s="25" t="str">
        <f aca="false">P31!B7</f>
        <v>(informe o período inicial na aba Dados)</v>
      </c>
      <c r="C33" s="26" t="n">
        <f aca="false">P31!D28</f>
        <v>9</v>
      </c>
      <c r="D33" s="23" t="str">
        <f aca="false">P31!F28</f>
        <v>A</v>
      </c>
      <c r="E33" s="27" t="n">
        <f aca="false">P31!F71</f>
        <v>1</v>
      </c>
      <c r="F33" s="28" t="n">
        <f aca="false">P31!F74</f>
        <v>30</v>
      </c>
      <c r="G33" s="29" t="n">
        <f aca="false">P31!I47</f>
        <v>11993.78</v>
      </c>
      <c r="H33" s="29" t="n">
        <f aca="false">P31!F72</f>
        <v>0</v>
      </c>
      <c r="I33" s="29" t="n">
        <f aca="false">P31!H47</f>
        <v>11993.78</v>
      </c>
      <c r="J33" s="29" t="n">
        <f aca="false">P31!F83</f>
        <v>0</v>
      </c>
      <c r="K33" s="29" t="n">
        <f aca="false">P31!F84</f>
        <v>0</v>
      </c>
      <c r="L33" s="30" t="n">
        <f aca="false">P31!F77</f>
        <v>11993.78</v>
      </c>
    </row>
    <row r="34" customFormat="false" ht="15" hidden="false" customHeight="false" outlineLevel="0" collapsed="false">
      <c r="A34" s="23" t="s">
        <v>183</v>
      </c>
      <c r="B34" s="25" t="str">
        <f aca="false">P32!B7</f>
        <v>(informe o período inicial na aba Dados)</v>
      </c>
      <c r="C34" s="26" t="n">
        <f aca="false">P32!D28</f>
        <v>9</v>
      </c>
      <c r="D34" s="23" t="str">
        <f aca="false">P32!F28</f>
        <v>A</v>
      </c>
      <c r="E34" s="27" t="n">
        <f aca="false">P32!F71</f>
        <v>1</v>
      </c>
      <c r="F34" s="28" t="n">
        <f aca="false">P32!F74</f>
        <v>30</v>
      </c>
      <c r="G34" s="29" t="n">
        <f aca="false">P32!I47</f>
        <v>11993.78</v>
      </c>
      <c r="H34" s="29" t="n">
        <f aca="false">P32!F72</f>
        <v>0</v>
      </c>
      <c r="I34" s="29" t="n">
        <f aca="false">P32!H47</f>
        <v>11993.78</v>
      </c>
      <c r="J34" s="29" t="n">
        <f aca="false">P32!F83</f>
        <v>0</v>
      </c>
      <c r="K34" s="29" t="n">
        <f aca="false">P32!F84</f>
        <v>0</v>
      </c>
      <c r="L34" s="30" t="n">
        <f aca="false">P32!F77</f>
        <v>11993.78</v>
      </c>
    </row>
    <row r="35" customFormat="false" ht="15" hidden="false" customHeight="false" outlineLevel="0" collapsed="false">
      <c r="A35" s="23" t="s">
        <v>184</v>
      </c>
      <c r="B35" s="25" t="str">
        <f aca="false">P33!B7</f>
        <v>(informe o período inicial na aba Dados)</v>
      </c>
      <c r="C35" s="26" t="n">
        <f aca="false">P33!D28</f>
        <v>9</v>
      </c>
      <c r="D35" s="23" t="str">
        <f aca="false">P33!F28</f>
        <v>A</v>
      </c>
      <c r="E35" s="27" t="n">
        <f aca="false">P33!F71</f>
        <v>1</v>
      </c>
      <c r="F35" s="28" t="n">
        <f aca="false">P33!F74</f>
        <v>30</v>
      </c>
      <c r="G35" s="29" t="n">
        <f aca="false">P33!I47</f>
        <v>11993.78</v>
      </c>
      <c r="H35" s="29" t="n">
        <f aca="false">P33!F72</f>
        <v>0</v>
      </c>
      <c r="I35" s="29" t="n">
        <f aca="false">P33!H47</f>
        <v>11993.78</v>
      </c>
      <c r="J35" s="29" t="n">
        <f aca="false">P33!F83</f>
        <v>0</v>
      </c>
      <c r="K35" s="29" t="n">
        <f aca="false">P33!F84</f>
        <v>0</v>
      </c>
      <c r="L35" s="30" t="n">
        <f aca="false">P33!F77</f>
        <v>11993.78</v>
      </c>
    </row>
    <row r="36" customFormat="false" ht="15" hidden="false" customHeight="false" outlineLevel="0" collapsed="false">
      <c r="A36" s="23" t="s">
        <v>185</v>
      </c>
      <c r="B36" s="25" t="str">
        <f aca="false">P34!B7</f>
        <v>(informe o período inicial na aba Dados)</v>
      </c>
      <c r="C36" s="26" t="n">
        <f aca="false">P34!D28</f>
        <v>9</v>
      </c>
      <c r="D36" s="23" t="str">
        <f aca="false">P34!F28</f>
        <v>A</v>
      </c>
      <c r="E36" s="27" t="n">
        <f aca="false">P34!F71</f>
        <v>1</v>
      </c>
      <c r="F36" s="28" t="n">
        <f aca="false">P34!F74</f>
        <v>30</v>
      </c>
      <c r="G36" s="29" t="n">
        <f aca="false">P34!I47</f>
        <v>11993.78</v>
      </c>
      <c r="H36" s="29" t="n">
        <f aca="false">P34!F72</f>
        <v>0</v>
      </c>
      <c r="I36" s="29" t="n">
        <f aca="false">P34!H47</f>
        <v>11993.78</v>
      </c>
      <c r="J36" s="29" t="n">
        <f aca="false">P34!F83</f>
        <v>0</v>
      </c>
      <c r="K36" s="29" t="n">
        <f aca="false">P34!F84</f>
        <v>0</v>
      </c>
      <c r="L36" s="30" t="n">
        <f aca="false">P34!F77</f>
        <v>11993.78</v>
      </c>
    </row>
    <row r="37" customFormat="false" ht="15" hidden="false" customHeight="false" outlineLevel="0" collapsed="false">
      <c r="A37" s="23" t="s">
        <v>186</v>
      </c>
      <c r="B37" s="25" t="str">
        <f aca="false">P35!B7</f>
        <v>(informe o período inicial na aba Dados)</v>
      </c>
      <c r="C37" s="26" t="n">
        <f aca="false">P35!D28</f>
        <v>9</v>
      </c>
      <c r="D37" s="23" t="str">
        <f aca="false">P35!F28</f>
        <v>A</v>
      </c>
      <c r="E37" s="27" t="n">
        <f aca="false">P35!F71</f>
        <v>1</v>
      </c>
      <c r="F37" s="28" t="n">
        <f aca="false">P35!F74</f>
        <v>30</v>
      </c>
      <c r="G37" s="29" t="n">
        <f aca="false">P35!I47</f>
        <v>11993.78</v>
      </c>
      <c r="H37" s="29" t="n">
        <f aca="false">P35!F72</f>
        <v>0</v>
      </c>
      <c r="I37" s="29" t="n">
        <f aca="false">P35!H47</f>
        <v>11993.78</v>
      </c>
      <c r="J37" s="29" t="n">
        <f aca="false">P35!F83</f>
        <v>0</v>
      </c>
      <c r="K37" s="29" t="n">
        <f aca="false">P35!F84</f>
        <v>0</v>
      </c>
      <c r="L37" s="30" t="n">
        <f aca="false">P35!F77</f>
        <v>11993.78</v>
      </c>
    </row>
    <row r="38" customFormat="false" ht="15" hidden="false" customHeight="false" outlineLevel="0" collapsed="false">
      <c r="A38" s="23" t="s">
        <v>187</v>
      </c>
      <c r="B38" s="25" t="str">
        <f aca="false">P36!B7</f>
        <v>(informe o período inicial na aba Dados)</v>
      </c>
      <c r="C38" s="26" t="n">
        <f aca="false">P36!D28</f>
        <v>9</v>
      </c>
      <c r="D38" s="23" t="str">
        <f aca="false">P36!F28</f>
        <v>A</v>
      </c>
      <c r="E38" s="27" t="n">
        <f aca="false">P36!F71</f>
        <v>1</v>
      </c>
      <c r="F38" s="28" t="n">
        <f aca="false">P36!F74</f>
        <v>30</v>
      </c>
      <c r="G38" s="29" t="n">
        <f aca="false">P36!I47</f>
        <v>11993.78</v>
      </c>
      <c r="H38" s="29" t="n">
        <f aca="false">P36!F72</f>
        <v>0</v>
      </c>
      <c r="I38" s="29" t="n">
        <f aca="false">P36!H47</f>
        <v>11993.78</v>
      </c>
      <c r="J38" s="29" t="n">
        <f aca="false">P36!F83</f>
        <v>0</v>
      </c>
      <c r="K38" s="29" t="n">
        <f aca="false">P36!F84</f>
        <v>0</v>
      </c>
      <c r="L38" s="30" t="n">
        <f aca="false">P36!F77</f>
        <v>11993.78</v>
      </c>
    </row>
    <row r="39" customFormat="false" ht="15" hidden="false" customHeight="false" outlineLevel="0" collapsed="false">
      <c r="A39" s="23" t="s">
        <v>188</v>
      </c>
      <c r="B39" s="25" t="str">
        <f aca="false">P37!B7</f>
        <v>(informe o período inicial na aba Dados)</v>
      </c>
      <c r="C39" s="26" t="n">
        <f aca="false">P37!D28</f>
        <v>9</v>
      </c>
      <c r="D39" s="23" t="str">
        <f aca="false">P37!F28</f>
        <v>A</v>
      </c>
      <c r="E39" s="27" t="n">
        <f aca="false">P37!F71</f>
        <v>1</v>
      </c>
      <c r="F39" s="28" t="n">
        <f aca="false">P37!F74</f>
        <v>30</v>
      </c>
      <c r="G39" s="29" t="n">
        <f aca="false">P37!I47</f>
        <v>11993.78</v>
      </c>
      <c r="H39" s="29" t="n">
        <f aca="false">P37!F72</f>
        <v>0</v>
      </c>
      <c r="I39" s="29" t="n">
        <f aca="false">P37!H47</f>
        <v>11993.78</v>
      </c>
      <c r="J39" s="29" t="n">
        <f aca="false">P37!F83</f>
        <v>0</v>
      </c>
      <c r="K39" s="29" t="n">
        <f aca="false">P37!F84</f>
        <v>0</v>
      </c>
      <c r="L39" s="30" t="n">
        <f aca="false">P37!F77</f>
        <v>11993.78</v>
      </c>
    </row>
    <row r="40" customFormat="false" ht="15" hidden="false" customHeight="false" outlineLevel="0" collapsed="false">
      <c r="A40" s="23" t="s">
        <v>189</v>
      </c>
      <c r="B40" s="25" t="str">
        <f aca="false">P38!B7</f>
        <v>(informe o período inicial na aba Dados)</v>
      </c>
      <c r="C40" s="26" t="n">
        <f aca="false">P38!D28</f>
        <v>9</v>
      </c>
      <c r="D40" s="23" t="str">
        <f aca="false">P38!F28</f>
        <v>A</v>
      </c>
      <c r="E40" s="27" t="n">
        <f aca="false">P38!F71</f>
        <v>1</v>
      </c>
      <c r="F40" s="28" t="n">
        <f aca="false">P38!F74</f>
        <v>30</v>
      </c>
      <c r="G40" s="29" t="n">
        <f aca="false">P38!I47</f>
        <v>11993.78</v>
      </c>
      <c r="H40" s="29" t="n">
        <f aca="false">P38!F72</f>
        <v>0</v>
      </c>
      <c r="I40" s="29" t="n">
        <f aca="false">P38!H47</f>
        <v>11993.78</v>
      </c>
      <c r="J40" s="29" t="n">
        <f aca="false">P38!F83</f>
        <v>0</v>
      </c>
      <c r="K40" s="29" t="n">
        <f aca="false">P38!F84</f>
        <v>0</v>
      </c>
      <c r="L40" s="30" t="n">
        <f aca="false">P38!F77</f>
        <v>11993.78</v>
      </c>
    </row>
    <row r="41" customFormat="false" ht="15" hidden="false" customHeight="false" outlineLevel="0" collapsed="false">
      <c r="A41" s="23" t="s">
        <v>190</v>
      </c>
      <c r="B41" s="25" t="str">
        <f aca="false">P39!B7</f>
        <v>(informe o período inicial na aba Dados)</v>
      </c>
      <c r="C41" s="26" t="n">
        <f aca="false">P39!D28</f>
        <v>9</v>
      </c>
      <c r="D41" s="23" t="str">
        <f aca="false">P39!F28</f>
        <v>A</v>
      </c>
      <c r="E41" s="27" t="n">
        <f aca="false">P39!F71</f>
        <v>1</v>
      </c>
      <c r="F41" s="28" t="n">
        <f aca="false">P39!F74</f>
        <v>30</v>
      </c>
      <c r="G41" s="29" t="n">
        <f aca="false">P39!I47</f>
        <v>11993.78</v>
      </c>
      <c r="H41" s="29" t="n">
        <f aca="false">P39!F72</f>
        <v>0</v>
      </c>
      <c r="I41" s="29" t="n">
        <f aca="false">P39!H47</f>
        <v>11993.78</v>
      </c>
      <c r="J41" s="29" t="n">
        <f aca="false">P39!F83</f>
        <v>0</v>
      </c>
      <c r="K41" s="29" t="n">
        <f aca="false">P39!F84</f>
        <v>0</v>
      </c>
      <c r="L41" s="30" t="n">
        <f aca="false">P39!F77</f>
        <v>11993.78</v>
      </c>
    </row>
    <row r="42" customFormat="false" ht="15" hidden="false" customHeight="false" outlineLevel="0" collapsed="false">
      <c r="A42" s="23" t="s">
        <v>191</v>
      </c>
      <c r="B42" s="25" t="str">
        <f aca="false">P40!B7</f>
        <v>(informe o período inicial na aba Dados)</v>
      </c>
      <c r="C42" s="26" t="n">
        <f aca="false">P40!D28</f>
        <v>9</v>
      </c>
      <c r="D42" s="23" t="str">
        <f aca="false">P40!F28</f>
        <v>A</v>
      </c>
      <c r="E42" s="27" t="n">
        <f aca="false">P40!F71</f>
        <v>1</v>
      </c>
      <c r="F42" s="28" t="n">
        <f aca="false">P40!F74</f>
        <v>30</v>
      </c>
      <c r="G42" s="29" t="n">
        <f aca="false">P40!I47</f>
        <v>11993.78</v>
      </c>
      <c r="H42" s="29" t="n">
        <f aca="false">P40!F72</f>
        <v>0</v>
      </c>
      <c r="I42" s="29" t="n">
        <f aca="false">P40!H47</f>
        <v>11993.78</v>
      </c>
      <c r="J42" s="29" t="n">
        <f aca="false">P40!F83</f>
        <v>0</v>
      </c>
      <c r="K42" s="29" t="n">
        <f aca="false">P40!F84</f>
        <v>0</v>
      </c>
      <c r="L42" s="30" t="n">
        <f aca="false">P40!F77</f>
        <v>11993.78</v>
      </c>
    </row>
    <row r="43" customFormat="false" ht="15" hidden="false" customHeight="false" outlineLevel="0" collapsed="false">
      <c r="A43" s="23" t="s">
        <v>192</v>
      </c>
      <c r="B43" s="25" t="str">
        <f aca="false">P41!B7</f>
        <v>(informe o período inicial na aba Dados)</v>
      </c>
      <c r="C43" s="26" t="n">
        <f aca="false">P41!D28</f>
        <v>9</v>
      </c>
      <c r="D43" s="23" t="str">
        <f aca="false">P41!F28</f>
        <v>A</v>
      </c>
      <c r="E43" s="27" t="n">
        <f aca="false">P41!F71</f>
        <v>1</v>
      </c>
      <c r="F43" s="28" t="n">
        <f aca="false">P41!F74</f>
        <v>30</v>
      </c>
      <c r="G43" s="29" t="n">
        <f aca="false">P41!I47</f>
        <v>11993.78</v>
      </c>
      <c r="H43" s="29" t="n">
        <f aca="false">P41!F72</f>
        <v>0</v>
      </c>
      <c r="I43" s="29" t="n">
        <f aca="false">P41!H47</f>
        <v>11993.78</v>
      </c>
      <c r="J43" s="29" t="n">
        <f aca="false">P41!F83</f>
        <v>0</v>
      </c>
      <c r="K43" s="29" t="n">
        <f aca="false">P41!F84</f>
        <v>0</v>
      </c>
      <c r="L43" s="30" t="n">
        <f aca="false">P41!F77</f>
        <v>11993.78</v>
      </c>
    </row>
    <row r="44" customFormat="false" ht="15" hidden="false" customHeight="false" outlineLevel="0" collapsed="false">
      <c r="A44" s="23" t="s">
        <v>193</v>
      </c>
      <c r="B44" s="25" t="str">
        <f aca="false">P42!B7</f>
        <v>(informe o período inicial na aba Dados)</v>
      </c>
      <c r="C44" s="26" t="n">
        <f aca="false">P42!D28</f>
        <v>9</v>
      </c>
      <c r="D44" s="23" t="str">
        <f aca="false">P42!F28</f>
        <v>A</v>
      </c>
      <c r="E44" s="27" t="n">
        <f aca="false">P42!F71</f>
        <v>1</v>
      </c>
      <c r="F44" s="28" t="n">
        <f aca="false">P42!F74</f>
        <v>30</v>
      </c>
      <c r="G44" s="29" t="n">
        <f aca="false">P42!I47</f>
        <v>11993.78</v>
      </c>
      <c r="H44" s="29" t="n">
        <f aca="false">P42!F72</f>
        <v>0</v>
      </c>
      <c r="I44" s="29" t="n">
        <f aca="false">P42!H47</f>
        <v>11993.78</v>
      </c>
      <c r="J44" s="29" t="n">
        <f aca="false">P42!F83</f>
        <v>0</v>
      </c>
      <c r="K44" s="29" t="n">
        <f aca="false">P42!F84</f>
        <v>0</v>
      </c>
      <c r="L44" s="30" t="n">
        <f aca="false">P42!F77</f>
        <v>11993.78</v>
      </c>
    </row>
    <row r="45" customFormat="false" ht="15" hidden="false" customHeight="false" outlineLevel="0" collapsed="false">
      <c r="A45" s="23" t="s">
        <v>194</v>
      </c>
      <c r="B45" s="25" t="str">
        <f aca="false">P43!B7</f>
        <v>(informe o período inicial na aba Dados)</v>
      </c>
      <c r="C45" s="26" t="n">
        <f aca="false">P43!D28</f>
        <v>9</v>
      </c>
      <c r="D45" s="23" t="str">
        <f aca="false">P43!F28</f>
        <v>A</v>
      </c>
      <c r="E45" s="27" t="n">
        <f aca="false">P43!F71</f>
        <v>1</v>
      </c>
      <c r="F45" s="28" t="n">
        <f aca="false">P43!F74</f>
        <v>30</v>
      </c>
      <c r="G45" s="29" t="n">
        <f aca="false">P43!I47</f>
        <v>11993.78</v>
      </c>
      <c r="H45" s="29" t="n">
        <f aca="false">P43!F72</f>
        <v>0</v>
      </c>
      <c r="I45" s="29" t="n">
        <f aca="false">P43!H47</f>
        <v>11993.78</v>
      </c>
      <c r="J45" s="29" t="n">
        <f aca="false">P43!F83</f>
        <v>0</v>
      </c>
      <c r="K45" s="29" t="n">
        <f aca="false">P43!F84</f>
        <v>0</v>
      </c>
      <c r="L45" s="30" t="n">
        <f aca="false">P43!F77</f>
        <v>11993.78</v>
      </c>
    </row>
    <row r="46" customFormat="false" ht="15" hidden="false" customHeight="false" outlineLevel="0" collapsed="false">
      <c r="A46" s="23" t="s">
        <v>195</v>
      </c>
      <c r="B46" s="25" t="str">
        <f aca="false">P44!B7</f>
        <v>(informe o período inicial na aba Dados)</v>
      </c>
      <c r="C46" s="26" t="n">
        <f aca="false">P44!D28</f>
        <v>9</v>
      </c>
      <c r="D46" s="23" t="str">
        <f aca="false">P44!F28</f>
        <v>A</v>
      </c>
      <c r="E46" s="27" t="n">
        <f aca="false">P44!F71</f>
        <v>1</v>
      </c>
      <c r="F46" s="28" t="n">
        <f aca="false">P44!F74</f>
        <v>30</v>
      </c>
      <c r="G46" s="29" t="n">
        <f aca="false">P44!I47</f>
        <v>11993.78</v>
      </c>
      <c r="H46" s="29" t="n">
        <f aca="false">P44!F72</f>
        <v>0</v>
      </c>
      <c r="I46" s="29" t="n">
        <f aca="false">P44!H47</f>
        <v>11993.78</v>
      </c>
      <c r="J46" s="29" t="n">
        <f aca="false">P44!F83</f>
        <v>0</v>
      </c>
      <c r="K46" s="29" t="n">
        <f aca="false">P44!F84</f>
        <v>0</v>
      </c>
      <c r="L46" s="30" t="n">
        <f aca="false">P44!F77</f>
        <v>11993.78</v>
      </c>
    </row>
    <row r="47" customFormat="false" ht="15" hidden="false" customHeight="false" outlineLevel="0" collapsed="false">
      <c r="A47" s="23" t="s">
        <v>196</v>
      </c>
      <c r="B47" s="25" t="str">
        <f aca="false">P45!B7</f>
        <v>(informe o período inicial na aba Dados)</v>
      </c>
      <c r="C47" s="26" t="n">
        <f aca="false">P45!D28</f>
        <v>9</v>
      </c>
      <c r="D47" s="23" t="str">
        <f aca="false">P45!F28</f>
        <v>A</v>
      </c>
      <c r="E47" s="27" t="n">
        <f aca="false">P45!F71</f>
        <v>1</v>
      </c>
      <c r="F47" s="28" t="n">
        <f aca="false">P45!F74</f>
        <v>30</v>
      </c>
      <c r="G47" s="29" t="n">
        <f aca="false">P45!I47</f>
        <v>11993.78</v>
      </c>
      <c r="H47" s="29" t="n">
        <f aca="false">P45!F72</f>
        <v>0</v>
      </c>
      <c r="I47" s="29" t="n">
        <f aca="false">P45!H47</f>
        <v>11993.78</v>
      </c>
      <c r="J47" s="29" t="n">
        <f aca="false">P45!F83</f>
        <v>0</v>
      </c>
      <c r="K47" s="29" t="n">
        <f aca="false">P45!F84</f>
        <v>0</v>
      </c>
      <c r="L47" s="30" t="n">
        <f aca="false">P45!F77</f>
        <v>11993.78</v>
      </c>
    </row>
    <row r="48" customFormat="false" ht="15" hidden="false" customHeight="false" outlineLevel="0" collapsed="false">
      <c r="A48" s="23" t="s">
        <v>197</v>
      </c>
      <c r="B48" s="25" t="str">
        <f aca="false">P46!B7</f>
        <v>(informe o período inicial na aba Dados)</v>
      </c>
      <c r="C48" s="26" t="n">
        <f aca="false">P46!D28</f>
        <v>9</v>
      </c>
      <c r="D48" s="23" t="str">
        <f aca="false">P46!F28</f>
        <v>A</v>
      </c>
      <c r="E48" s="27" t="n">
        <f aca="false">P46!F71</f>
        <v>1</v>
      </c>
      <c r="F48" s="28" t="n">
        <f aca="false">P46!F74</f>
        <v>30</v>
      </c>
      <c r="G48" s="29" t="n">
        <f aca="false">P46!I47</f>
        <v>11993.78</v>
      </c>
      <c r="H48" s="29" t="n">
        <f aca="false">P46!F72</f>
        <v>0</v>
      </c>
      <c r="I48" s="29" t="n">
        <f aca="false">P46!H47</f>
        <v>11993.78</v>
      </c>
      <c r="J48" s="29" t="n">
        <f aca="false">P46!F83</f>
        <v>0</v>
      </c>
      <c r="K48" s="29" t="n">
        <f aca="false">P46!F84</f>
        <v>0</v>
      </c>
      <c r="L48" s="30" t="n">
        <f aca="false">P46!F77</f>
        <v>11993.78</v>
      </c>
    </row>
    <row r="49" customFormat="false" ht="15" hidden="false" customHeight="false" outlineLevel="0" collapsed="false">
      <c r="A49" s="23" t="s">
        <v>198</v>
      </c>
      <c r="B49" s="25" t="str">
        <f aca="false">P47!B7</f>
        <v>(informe o período inicial na aba Dados)</v>
      </c>
      <c r="C49" s="26" t="n">
        <f aca="false">P47!D28</f>
        <v>9</v>
      </c>
      <c r="D49" s="23" t="str">
        <f aca="false">P47!F28</f>
        <v>A</v>
      </c>
      <c r="E49" s="27" t="n">
        <f aca="false">P47!F71</f>
        <v>1</v>
      </c>
      <c r="F49" s="28" t="n">
        <f aca="false">P47!F74</f>
        <v>30</v>
      </c>
      <c r="G49" s="29" t="n">
        <f aca="false">P47!I47</f>
        <v>11993.78</v>
      </c>
      <c r="H49" s="29" t="n">
        <f aca="false">P47!F72</f>
        <v>0</v>
      </c>
      <c r="I49" s="29" t="n">
        <f aca="false">P47!H47</f>
        <v>11993.78</v>
      </c>
      <c r="J49" s="29" t="n">
        <f aca="false">P47!F83</f>
        <v>0</v>
      </c>
      <c r="K49" s="29" t="n">
        <f aca="false">P47!F84</f>
        <v>0</v>
      </c>
      <c r="L49" s="30" t="n">
        <f aca="false">P47!F77</f>
        <v>11993.78</v>
      </c>
    </row>
    <row r="50" customFormat="false" ht="15" hidden="false" customHeight="false" outlineLevel="0" collapsed="false">
      <c r="A50" s="23" t="s">
        <v>199</v>
      </c>
      <c r="B50" s="25" t="str">
        <f aca="false">P48!B7</f>
        <v>(informe o período inicial na aba Dados)</v>
      </c>
      <c r="C50" s="26" t="n">
        <f aca="false">P48!D28</f>
        <v>9</v>
      </c>
      <c r="D50" s="23" t="str">
        <f aca="false">P48!F28</f>
        <v>A</v>
      </c>
      <c r="E50" s="27" t="n">
        <f aca="false">P48!F71</f>
        <v>1</v>
      </c>
      <c r="F50" s="28" t="n">
        <f aca="false">P48!F74</f>
        <v>30</v>
      </c>
      <c r="G50" s="29" t="n">
        <f aca="false">P48!I47</f>
        <v>11993.78</v>
      </c>
      <c r="H50" s="29" t="n">
        <f aca="false">P48!F72</f>
        <v>0</v>
      </c>
      <c r="I50" s="29" t="n">
        <f aca="false">P48!H47</f>
        <v>11993.78</v>
      </c>
      <c r="J50" s="29" t="n">
        <f aca="false">P48!F83</f>
        <v>0</v>
      </c>
      <c r="K50" s="29" t="n">
        <f aca="false">P48!F84</f>
        <v>0</v>
      </c>
      <c r="L50" s="30" t="n">
        <f aca="false">P48!F77</f>
        <v>11993.78</v>
      </c>
    </row>
    <row r="51" customFormat="false" ht="15" hidden="false" customHeight="false" outlineLevel="0" collapsed="false">
      <c r="A51" s="23" t="s">
        <v>200</v>
      </c>
      <c r="B51" s="25" t="str">
        <f aca="false">P49!B7</f>
        <v>(informe o período inicial na aba Dados)</v>
      </c>
      <c r="C51" s="26" t="n">
        <f aca="false">P49!D28</f>
        <v>9</v>
      </c>
      <c r="D51" s="23" t="str">
        <f aca="false">P49!F28</f>
        <v>A</v>
      </c>
      <c r="E51" s="27" t="n">
        <f aca="false">P49!F71</f>
        <v>1</v>
      </c>
      <c r="F51" s="28" t="n">
        <f aca="false">P49!F74</f>
        <v>30</v>
      </c>
      <c r="G51" s="29" t="n">
        <f aca="false">P49!I47</f>
        <v>11993.78</v>
      </c>
      <c r="H51" s="29" t="n">
        <f aca="false">P49!F72</f>
        <v>0</v>
      </c>
      <c r="I51" s="29" t="n">
        <f aca="false">P49!H47</f>
        <v>11993.78</v>
      </c>
      <c r="J51" s="29" t="n">
        <f aca="false">P49!F83</f>
        <v>0</v>
      </c>
      <c r="K51" s="29" t="n">
        <f aca="false">P49!F84</f>
        <v>0</v>
      </c>
      <c r="L51" s="30" t="n">
        <f aca="false">P49!F77</f>
        <v>11993.78</v>
      </c>
    </row>
    <row r="52" customFormat="false" ht="15" hidden="false" customHeight="false" outlineLevel="0" collapsed="false">
      <c r="A52" s="23" t="s">
        <v>201</v>
      </c>
      <c r="B52" s="25" t="str">
        <f aca="false">P50!B7</f>
        <v>(informe o período inicial na aba Dados)</v>
      </c>
      <c r="C52" s="26" t="n">
        <f aca="false">P50!D28</f>
        <v>9</v>
      </c>
      <c r="D52" s="23" t="str">
        <f aca="false">P50!F28</f>
        <v>A</v>
      </c>
      <c r="E52" s="27" t="n">
        <f aca="false">P50!F71</f>
        <v>1</v>
      </c>
      <c r="F52" s="28" t="n">
        <f aca="false">P50!F74</f>
        <v>30</v>
      </c>
      <c r="G52" s="29" t="n">
        <f aca="false">P50!I47</f>
        <v>11993.78</v>
      </c>
      <c r="H52" s="29" t="n">
        <f aca="false">P50!F72</f>
        <v>0</v>
      </c>
      <c r="I52" s="29" t="n">
        <f aca="false">P50!H47</f>
        <v>11993.78</v>
      </c>
      <c r="J52" s="29" t="n">
        <f aca="false">P50!F83</f>
        <v>0</v>
      </c>
      <c r="K52" s="29" t="n">
        <f aca="false">P50!F84</f>
        <v>0</v>
      </c>
      <c r="L52" s="30" t="n">
        <f aca="false">P50!F77</f>
        <v>11993.78</v>
      </c>
    </row>
    <row r="53" customFormat="false" ht="15" hidden="false" customHeight="false" outlineLevel="0" collapsed="false">
      <c r="A53" s="23" t="s">
        <v>202</v>
      </c>
      <c r="B53" s="25" t="str">
        <f aca="false">P51!B7</f>
        <v>(informe o período inicial na aba Dados)</v>
      </c>
      <c r="C53" s="26" t="n">
        <f aca="false">P51!D28</f>
        <v>9</v>
      </c>
      <c r="D53" s="23" t="str">
        <f aca="false">P51!F28</f>
        <v>A</v>
      </c>
      <c r="E53" s="27" t="n">
        <f aca="false">P51!F71</f>
        <v>1</v>
      </c>
      <c r="F53" s="28" t="n">
        <f aca="false">P51!F74</f>
        <v>30</v>
      </c>
      <c r="G53" s="29" t="n">
        <f aca="false">P51!I47</f>
        <v>11993.78</v>
      </c>
      <c r="H53" s="29" t="n">
        <f aca="false">P51!F72</f>
        <v>0</v>
      </c>
      <c r="I53" s="29" t="n">
        <f aca="false">P51!H47</f>
        <v>11993.78</v>
      </c>
      <c r="J53" s="29" t="n">
        <f aca="false">P51!F83</f>
        <v>0</v>
      </c>
      <c r="K53" s="29" t="n">
        <f aca="false">P51!F84</f>
        <v>0</v>
      </c>
      <c r="L53" s="30" t="n">
        <f aca="false">P51!F77</f>
        <v>11993.78</v>
      </c>
    </row>
    <row r="54" customFormat="false" ht="15" hidden="false" customHeight="false" outlineLevel="0" collapsed="false">
      <c r="A54" s="23" t="s">
        <v>203</v>
      </c>
      <c r="B54" s="25" t="str">
        <f aca="false">P52!B7</f>
        <v>(informe o período inicial na aba Dados)</v>
      </c>
      <c r="C54" s="26" t="n">
        <f aca="false">P52!D28</f>
        <v>9</v>
      </c>
      <c r="D54" s="23" t="str">
        <f aca="false">P52!F28</f>
        <v>A</v>
      </c>
      <c r="E54" s="27" t="n">
        <f aca="false">P52!F71</f>
        <v>1</v>
      </c>
      <c r="F54" s="28" t="n">
        <f aca="false">P52!F74</f>
        <v>30</v>
      </c>
      <c r="G54" s="29" t="n">
        <f aca="false">P52!I47</f>
        <v>11993.78</v>
      </c>
      <c r="H54" s="29" t="n">
        <f aca="false">P52!F72</f>
        <v>0</v>
      </c>
      <c r="I54" s="29" t="n">
        <f aca="false">P52!H47</f>
        <v>11993.78</v>
      </c>
      <c r="J54" s="29" t="n">
        <f aca="false">P52!F83</f>
        <v>0</v>
      </c>
      <c r="K54" s="29" t="n">
        <f aca="false">P52!F84</f>
        <v>0</v>
      </c>
      <c r="L54" s="30" t="n">
        <f aca="false">P52!F77</f>
        <v>11993.78</v>
      </c>
    </row>
    <row r="55" customFormat="false" ht="15" hidden="false" customHeight="false" outlineLevel="0" collapsed="false">
      <c r="A55" s="23" t="s">
        <v>204</v>
      </c>
      <c r="B55" s="25" t="str">
        <f aca="false">P53!B7</f>
        <v>(informe o período inicial na aba Dados)</v>
      </c>
      <c r="C55" s="26" t="n">
        <f aca="false">P53!D28</f>
        <v>9</v>
      </c>
      <c r="D55" s="23" t="str">
        <f aca="false">P53!F28</f>
        <v>A</v>
      </c>
      <c r="E55" s="27" t="n">
        <f aca="false">P53!F71</f>
        <v>1</v>
      </c>
      <c r="F55" s="28" t="n">
        <f aca="false">P53!F74</f>
        <v>30</v>
      </c>
      <c r="G55" s="29" t="n">
        <f aca="false">P53!I47</f>
        <v>11993.78</v>
      </c>
      <c r="H55" s="29" t="n">
        <f aca="false">P53!F72</f>
        <v>0</v>
      </c>
      <c r="I55" s="29" t="n">
        <f aca="false">P53!H47</f>
        <v>11993.78</v>
      </c>
      <c r="J55" s="29" t="n">
        <f aca="false">P53!F83</f>
        <v>0</v>
      </c>
      <c r="K55" s="29" t="n">
        <f aca="false">P53!F84</f>
        <v>0</v>
      </c>
      <c r="L55" s="30" t="n">
        <f aca="false">P53!F77</f>
        <v>11993.78</v>
      </c>
    </row>
    <row r="56" customFormat="false" ht="15" hidden="false" customHeight="false" outlineLevel="0" collapsed="false">
      <c r="A56" s="23" t="s">
        <v>205</v>
      </c>
      <c r="B56" s="25" t="str">
        <f aca="false">P54!B7</f>
        <v>(informe o período inicial na aba Dados)</v>
      </c>
      <c r="C56" s="26" t="n">
        <f aca="false">P54!D28</f>
        <v>9</v>
      </c>
      <c r="D56" s="23" t="str">
        <f aca="false">P54!F28</f>
        <v>A</v>
      </c>
      <c r="E56" s="27" t="n">
        <f aca="false">P54!F71</f>
        <v>1</v>
      </c>
      <c r="F56" s="28" t="n">
        <f aca="false">P54!F74</f>
        <v>30</v>
      </c>
      <c r="G56" s="29" t="n">
        <f aca="false">P54!I47</f>
        <v>11993.78</v>
      </c>
      <c r="H56" s="29" t="n">
        <f aca="false">P54!F72</f>
        <v>0</v>
      </c>
      <c r="I56" s="29" t="n">
        <f aca="false">P54!H47</f>
        <v>11993.78</v>
      </c>
      <c r="J56" s="29" t="n">
        <f aca="false">P54!F83</f>
        <v>0</v>
      </c>
      <c r="K56" s="29" t="n">
        <f aca="false">P54!F84</f>
        <v>0</v>
      </c>
      <c r="L56" s="30" t="n">
        <f aca="false">P54!F77</f>
        <v>11993.78</v>
      </c>
    </row>
    <row r="57" customFormat="false" ht="15" hidden="false" customHeight="false" outlineLevel="0" collapsed="false">
      <c r="A57" s="23" t="s">
        <v>206</v>
      </c>
      <c r="B57" s="25" t="str">
        <f aca="false">P55!B7</f>
        <v>(informe o período inicial na aba Dados)</v>
      </c>
      <c r="C57" s="26" t="n">
        <f aca="false">P55!D28</f>
        <v>9</v>
      </c>
      <c r="D57" s="23" t="str">
        <f aca="false">P55!F28</f>
        <v>A</v>
      </c>
      <c r="E57" s="27" t="n">
        <f aca="false">P55!F71</f>
        <v>1</v>
      </c>
      <c r="F57" s="28" t="n">
        <f aca="false">P55!F74</f>
        <v>30</v>
      </c>
      <c r="G57" s="29" t="n">
        <f aca="false">P55!I47</f>
        <v>11993.78</v>
      </c>
      <c r="H57" s="29" t="n">
        <f aca="false">P55!F72</f>
        <v>0</v>
      </c>
      <c r="I57" s="29" t="n">
        <f aca="false">P55!H47</f>
        <v>11993.78</v>
      </c>
      <c r="J57" s="29" t="n">
        <f aca="false">P55!F83</f>
        <v>0</v>
      </c>
      <c r="K57" s="29" t="n">
        <f aca="false">P55!F84</f>
        <v>0</v>
      </c>
      <c r="L57" s="30" t="n">
        <f aca="false">P55!F77</f>
        <v>11993.78</v>
      </c>
    </row>
    <row r="58" customFormat="false" ht="15" hidden="false" customHeight="false" outlineLevel="0" collapsed="false">
      <c r="A58" s="23" t="s">
        <v>207</v>
      </c>
      <c r="B58" s="25" t="str">
        <f aca="false">P56!B7</f>
        <v>(informe o período inicial na aba Dados)</v>
      </c>
      <c r="C58" s="26" t="n">
        <f aca="false">P56!D28</f>
        <v>9</v>
      </c>
      <c r="D58" s="23" t="str">
        <f aca="false">P56!F28</f>
        <v>A</v>
      </c>
      <c r="E58" s="27" t="n">
        <f aca="false">P56!F71</f>
        <v>1</v>
      </c>
      <c r="F58" s="28" t="n">
        <f aca="false">P56!F74</f>
        <v>30</v>
      </c>
      <c r="G58" s="29" t="n">
        <f aca="false">P56!I47</f>
        <v>11993.78</v>
      </c>
      <c r="H58" s="29" t="n">
        <f aca="false">P56!F72</f>
        <v>0</v>
      </c>
      <c r="I58" s="29" t="n">
        <f aca="false">P56!H47</f>
        <v>11993.78</v>
      </c>
      <c r="J58" s="29" t="n">
        <f aca="false">P56!F83</f>
        <v>0</v>
      </c>
      <c r="K58" s="29" t="n">
        <f aca="false">P56!F84</f>
        <v>0</v>
      </c>
      <c r="L58" s="30" t="n">
        <f aca="false">P56!F77</f>
        <v>11993.78</v>
      </c>
    </row>
    <row r="59" customFormat="false" ht="15" hidden="false" customHeight="false" outlineLevel="0" collapsed="false">
      <c r="A59" s="23" t="s">
        <v>208</v>
      </c>
      <c r="B59" s="25" t="str">
        <f aca="false">P57!B7</f>
        <v>(informe o período inicial na aba Dados)</v>
      </c>
      <c r="C59" s="26" t="n">
        <f aca="false">P57!D28</f>
        <v>9</v>
      </c>
      <c r="D59" s="23" t="str">
        <f aca="false">P57!F28</f>
        <v>A</v>
      </c>
      <c r="E59" s="27" t="n">
        <f aca="false">P57!F71</f>
        <v>1</v>
      </c>
      <c r="F59" s="28" t="n">
        <f aca="false">P57!F74</f>
        <v>30</v>
      </c>
      <c r="G59" s="29" t="n">
        <f aca="false">P57!I47</f>
        <v>11993.78</v>
      </c>
      <c r="H59" s="29" t="n">
        <f aca="false">P57!F72</f>
        <v>0</v>
      </c>
      <c r="I59" s="29" t="n">
        <f aca="false">P57!H47</f>
        <v>11993.78</v>
      </c>
      <c r="J59" s="29" t="n">
        <f aca="false">P57!F83</f>
        <v>0</v>
      </c>
      <c r="K59" s="29" t="n">
        <f aca="false">P57!F84</f>
        <v>0</v>
      </c>
      <c r="L59" s="30" t="n">
        <f aca="false">P57!F77</f>
        <v>11993.78</v>
      </c>
    </row>
    <row r="60" customFormat="false" ht="15" hidden="false" customHeight="false" outlineLevel="0" collapsed="false">
      <c r="A60" s="23" t="s">
        <v>209</v>
      </c>
      <c r="B60" s="25" t="str">
        <f aca="false">P58!B7</f>
        <v>(informe o período inicial na aba Dados)</v>
      </c>
      <c r="C60" s="26" t="n">
        <f aca="false">P58!D28</f>
        <v>9</v>
      </c>
      <c r="D60" s="23" t="str">
        <f aca="false">P58!F28</f>
        <v>A</v>
      </c>
      <c r="E60" s="27" t="n">
        <f aca="false">P58!F71</f>
        <v>1</v>
      </c>
      <c r="F60" s="28" t="n">
        <f aca="false">P58!F74</f>
        <v>30</v>
      </c>
      <c r="G60" s="29" t="n">
        <f aca="false">P58!I47</f>
        <v>11993.78</v>
      </c>
      <c r="H60" s="29" t="n">
        <f aca="false">P58!F72</f>
        <v>0</v>
      </c>
      <c r="I60" s="29" t="n">
        <f aca="false">P58!H47</f>
        <v>11993.78</v>
      </c>
      <c r="J60" s="29" t="n">
        <f aca="false">P58!F83</f>
        <v>0</v>
      </c>
      <c r="K60" s="29" t="n">
        <f aca="false">P58!F84</f>
        <v>0</v>
      </c>
      <c r="L60" s="30" t="n">
        <f aca="false">P58!F77</f>
        <v>11993.78</v>
      </c>
    </row>
    <row r="61" customFormat="false" ht="15" hidden="false" customHeight="false" outlineLevel="0" collapsed="false">
      <c r="A61" s="23" t="s">
        <v>210</v>
      </c>
      <c r="B61" s="25" t="str">
        <f aca="false">P59!B7</f>
        <v>(informe o período inicial na aba Dados)</v>
      </c>
      <c r="C61" s="26" t="n">
        <f aca="false">P59!D28</f>
        <v>9</v>
      </c>
      <c r="D61" s="23" t="str">
        <f aca="false">P59!F28</f>
        <v>A</v>
      </c>
      <c r="E61" s="27" t="n">
        <f aca="false">P59!F71</f>
        <v>1</v>
      </c>
      <c r="F61" s="28" t="n">
        <f aca="false">P59!F74</f>
        <v>30</v>
      </c>
      <c r="G61" s="29" t="n">
        <f aca="false">P59!I47</f>
        <v>11993.78</v>
      </c>
      <c r="H61" s="29" t="n">
        <f aca="false">P59!F72</f>
        <v>0</v>
      </c>
      <c r="I61" s="29" t="n">
        <f aca="false">P59!H47</f>
        <v>11993.78</v>
      </c>
      <c r="J61" s="29" t="n">
        <f aca="false">P59!F83</f>
        <v>0</v>
      </c>
      <c r="K61" s="29" t="n">
        <f aca="false">P59!F84</f>
        <v>0</v>
      </c>
      <c r="L61" s="30" t="n">
        <f aca="false">P59!F77</f>
        <v>11993.78</v>
      </c>
    </row>
    <row r="62" customFormat="false" ht="15" hidden="false" customHeight="false" outlineLevel="0" collapsed="false">
      <c r="A62" s="23" t="s">
        <v>211</v>
      </c>
      <c r="B62" s="25" t="str">
        <f aca="false">P60!B7</f>
        <v>(informe o período inicial na aba Dados)</v>
      </c>
      <c r="C62" s="26" t="n">
        <f aca="false">P60!D28</f>
        <v>9</v>
      </c>
      <c r="D62" s="23" t="str">
        <f aca="false">P60!F28</f>
        <v>A</v>
      </c>
      <c r="E62" s="27" t="n">
        <f aca="false">P60!F71</f>
        <v>1</v>
      </c>
      <c r="F62" s="28" t="n">
        <f aca="false">P60!F74</f>
        <v>30</v>
      </c>
      <c r="G62" s="29" t="n">
        <f aca="false">P60!I47</f>
        <v>11993.78</v>
      </c>
      <c r="H62" s="29" t="n">
        <f aca="false">P60!F72</f>
        <v>0</v>
      </c>
      <c r="I62" s="29" t="n">
        <f aca="false">P60!H47</f>
        <v>11993.78</v>
      </c>
      <c r="J62" s="29" t="n">
        <f aca="false">P60!F83</f>
        <v>0</v>
      </c>
      <c r="K62" s="29" t="n">
        <f aca="false">P60!F84</f>
        <v>0</v>
      </c>
      <c r="L62" s="30" t="n">
        <f aca="false">P60!F77</f>
        <v>11993.78</v>
      </c>
    </row>
    <row r="63" customFormat="false" ht="15" hidden="false" customHeight="false" outlineLevel="0" collapsed="false">
      <c r="A63" s="8" t="s">
        <v>212</v>
      </c>
      <c r="B63" s="8"/>
      <c r="C63" s="8"/>
      <c r="D63" s="8"/>
      <c r="E63" s="8"/>
      <c r="F63" s="8"/>
      <c r="G63" s="16" t="n">
        <f aca="false">SUM(G3:G62)</f>
        <v>719626.8</v>
      </c>
      <c r="H63" s="16" t="n">
        <f aca="false">SUM(H3:H62)</f>
        <v>0</v>
      </c>
      <c r="I63" s="16" t="n">
        <f aca="false">SUM(I3:I62)</f>
        <v>719626.8</v>
      </c>
      <c r="J63" s="16" t="n">
        <f aca="false">SUM(J3:J62)</f>
        <v>0</v>
      </c>
      <c r="K63" s="16" t="n">
        <f aca="false">K62</f>
        <v>0</v>
      </c>
      <c r="L63" s="16" t="n">
        <f aca="false">SUM(L3:L62)</f>
        <v>719626.8</v>
      </c>
    </row>
    <row r="64" customFormat="false" ht="15" hidden="false" customHeight="true" outlineLevel="0" collapsed="false">
      <c r="A64" s="6" t="s">
        <v>213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mergeCells count="3">
    <mergeCell ref="A1:L1"/>
    <mergeCell ref="A63:F63"/>
    <mergeCell ref="A64:L64"/>
  </mergeCells>
  <conditionalFormatting sqref="K3:K62">
    <cfRule type="expression" priority="2" aboveAverage="0" equalAverage="0" bottom="0" percent="0" rank="0" text="" dxfId="0">
      <formula>K3&lt;0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Dados)",EDATE(Dados!$B$7,0))</f>
        <v>(informe o período inicial na aba Dados)</v>
      </c>
      <c r="C7" s="34"/>
      <c r="D7" s="34"/>
      <c r="E7" s="8" t="s">
        <v>217</v>
      </c>
      <c r="F7" s="8"/>
      <c r="G7" s="23" t="s">
        <v>218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Dados)",EDATE(Dados!$B$7,1))</f>
        <v>(informe o período inicial na aba Dados)</v>
      </c>
      <c r="C7" s="34"/>
      <c r="D7" s="34"/>
      <c r="E7" s="8" t="s">
        <v>217</v>
      </c>
      <c r="F7" s="8"/>
      <c r="G7" s="23" t="s">
        <v>275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ROUNDDOWN(P01!F84+N(F80)-N(F83),2)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Dados)",EDATE(Dados!$B$7,2))</f>
        <v>(informe o período inicial na aba Dados)</v>
      </c>
      <c r="C7" s="34"/>
      <c r="D7" s="34"/>
      <c r="E7" s="8" t="s">
        <v>217</v>
      </c>
      <c r="F7" s="8"/>
      <c r="G7" s="23" t="s">
        <v>276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ROUNDDOWN(P02!F84+N(F80)-N(F83),2)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Dados)",EDATE(Dados!$B$7,3))</f>
        <v>(informe o período inicial na aba Dados)</v>
      </c>
      <c r="C7" s="34"/>
      <c r="D7" s="34"/>
      <c r="E7" s="8" t="s">
        <v>217</v>
      </c>
      <c r="F7" s="8"/>
      <c r="G7" s="23" t="s">
        <v>277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ROUNDDOWN(P03!F84+N(F80)-N(F83),2)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Dados)",EDATE(Dados!$B$7,4))</f>
        <v>(informe o período inicial na aba Dados)</v>
      </c>
      <c r="C7" s="34"/>
      <c r="D7" s="34"/>
      <c r="E7" s="8" t="s">
        <v>217</v>
      </c>
      <c r="F7" s="8"/>
      <c r="G7" s="23" t="s">
        <v>278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ROUNDDOWN(P04!F84+N(F80)-N(F83),2)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Dados)",EDATE(Dados!$B$7,5))</f>
        <v>(informe o período inicial na aba Dados)</v>
      </c>
      <c r="C7" s="34"/>
      <c r="D7" s="34"/>
      <c r="E7" s="8" t="s">
        <v>217</v>
      </c>
      <c r="F7" s="8"/>
      <c r="G7" s="23" t="s">
        <v>279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ROUNDDOWN(P05!F84+N(F80)-N(F83),2)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Dados)",EDATE(Dados!$B$7,6))</f>
        <v>(informe o período inicial na aba Dados)</v>
      </c>
      <c r="C7" s="34"/>
      <c r="D7" s="34"/>
      <c r="E7" s="8" t="s">
        <v>217</v>
      </c>
      <c r="F7" s="8"/>
      <c r="G7" s="23" t="s">
        <v>280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ROUNDDOWN(P06!F84+N(F80)-N(F83),2)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Dados)",EDATE(Dados!$B$7,7))</f>
        <v>(informe o período inicial na aba Dados)</v>
      </c>
      <c r="C7" s="34"/>
      <c r="D7" s="34"/>
      <c r="E7" s="8" t="s">
        <v>217</v>
      </c>
      <c r="F7" s="8"/>
      <c r="G7" s="23" t="s">
        <v>281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ROUNDDOWN(P07!F84+N(F80)-N(F83),2)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Dados)",EDATE(Dados!$B$7,8))</f>
        <v>(informe o período inicial na aba Dados)</v>
      </c>
      <c r="C7" s="34"/>
      <c r="D7" s="34"/>
      <c r="E7" s="8" t="s">
        <v>217</v>
      </c>
      <c r="F7" s="8"/>
      <c r="G7" s="23" t="s">
        <v>282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ROUNDDOWN(P08!F84+N(F80)-N(F83),2)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Dados)",EDATE(Dados!$B$7,9))</f>
        <v>(informe o período inicial na aba Dados)</v>
      </c>
      <c r="C7" s="34"/>
      <c r="D7" s="34"/>
      <c r="E7" s="8" t="s">
        <v>217</v>
      </c>
      <c r="F7" s="8"/>
      <c r="G7" s="23" t="s">
        <v>283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ROUNDDOWN(P09!F84+N(F80)-N(F83),2)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Dados)",EDATE(Dados!$B$7,10))</f>
        <v>(informe o período inicial na aba Dados)</v>
      </c>
      <c r="C7" s="34"/>
      <c r="D7" s="34"/>
      <c r="E7" s="8" t="s">
        <v>217</v>
      </c>
      <c r="F7" s="8"/>
      <c r="G7" s="23" t="s">
        <v>284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ROUNDDOWN(P10!F84+N(F80)-N(F83),2)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Dados)",EDATE(Dados!$B$7,11))</f>
        <v>(informe o período inicial na aba Dados)</v>
      </c>
      <c r="C7" s="34"/>
      <c r="D7" s="34"/>
      <c r="E7" s="8" t="s">
        <v>217</v>
      </c>
      <c r="F7" s="8"/>
      <c r="G7" s="23" t="s">
        <v>285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ROUNDDOWN(P11!F84+N(F80)-N(F83),2)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Dados)",EDATE(Dados!$B$7,12))</f>
        <v>(informe o período inicial na aba Dados)</v>
      </c>
      <c r="C7" s="34"/>
      <c r="D7" s="34"/>
      <c r="E7" s="8" t="s">
        <v>217</v>
      </c>
      <c r="F7" s="8"/>
      <c r="G7" s="23" t="s">
        <v>286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ROUNDDOWN(P12!F84+N(F80)-N(F83),2)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Dados)",EDATE(Dados!$B$7,13))</f>
        <v>(informe o período inicial na aba Dados)</v>
      </c>
      <c r="C7" s="34"/>
      <c r="D7" s="34"/>
      <c r="E7" s="8" t="s">
        <v>217</v>
      </c>
      <c r="F7" s="8"/>
      <c r="G7" s="23" t="s">
        <v>287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ROUNDDOWN(P13!F84+N(F80)-N(F83),2)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Dados)",EDATE(Dados!$B$7,14))</f>
        <v>(informe o período inicial na aba Dados)</v>
      </c>
      <c r="C7" s="34"/>
      <c r="D7" s="34"/>
      <c r="E7" s="8" t="s">
        <v>217</v>
      </c>
      <c r="F7" s="8"/>
      <c r="G7" s="23" t="s">
        <v>288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ROUNDDOWN(P14!F84+N(F80)-N(F83),2)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Dados)",EDATE(Dados!$B$7,15))</f>
        <v>(informe o período inicial na aba Dados)</v>
      </c>
      <c r="C7" s="34"/>
      <c r="D7" s="34"/>
      <c r="E7" s="8" t="s">
        <v>217</v>
      </c>
      <c r="F7" s="8"/>
      <c r="G7" s="23" t="s">
        <v>289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ROUNDDOWN(P15!F84+N(F80)-N(F83),2)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Dados)",EDATE(Dados!$B$7,16))</f>
        <v>(informe o período inicial na aba Dados)</v>
      </c>
      <c r="C7" s="34"/>
      <c r="D7" s="34"/>
      <c r="E7" s="8" t="s">
        <v>217</v>
      </c>
      <c r="F7" s="8"/>
      <c r="G7" s="23" t="s">
        <v>290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ROUNDDOWN(P16!F84+N(F80)-N(F83),2)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Dados)",EDATE(Dados!$B$7,17))</f>
        <v>(informe o período inicial na aba Dados)</v>
      </c>
      <c r="C7" s="34"/>
      <c r="D7" s="34"/>
      <c r="E7" s="8" t="s">
        <v>217</v>
      </c>
      <c r="F7" s="8"/>
      <c r="G7" s="23" t="s">
        <v>291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ROUNDDOWN(P17!F84+N(F80)-N(F83),2)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Dados)",EDATE(Dados!$B$7,18))</f>
        <v>(informe o período inicial na aba Dados)</v>
      </c>
      <c r="C7" s="34"/>
      <c r="D7" s="34"/>
      <c r="E7" s="8" t="s">
        <v>217</v>
      </c>
      <c r="F7" s="8"/>
      <c r="G7" s="23" t="s">
        <v>292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ROUNDDOWN(P18!F84+N(F80)-N(F83),2)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Dados)",EDATE(Dados!$B$7,19))</f>
        <v>(informe o período inicial na aba Dados)</v>
      </c>
      <c r="C7" s="34"/>
      <c r="D7" s="34"/>
      <c r="E7" s="8" t="s">
        <v>217</v>
      </c>
      <c r="F7" s="8"/>
      <c r="G7" s="23" t="s">
        <v>293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ROUNDDOWN(P19!F84+N(F80)-N(F83),2)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Dados)",EDATE(Dados!$B$7,20))</f>
        <v>(informe o período inicial na aba Dados)</v>
      </c>
      <c r="C7" s="34"/>
      <c r="D7" s="34"/>
      <c r="E7" s="8" t="s">
        <v>217</v>
      </c>
      <c r="F7" s="8"/>
      <c r="G7" s="23" t="s">
        <v>294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ROUNDDOWN(P20!F84+N(F80)-N(F83),2)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Dados)",EDATE(Dados!$B$7,21))</f>
        <v>(informe o período inicial na aba Dados)</v>
      </c>
      <c r="C7" s="34"/>
      <c r="D7" s="34"/>
      <c r="E7" s="8" t="s">
        <v>217</v>
      </c>
      <c r="F7" s="8"/>
      <c r="G7" s="23" t="s">
        <v>295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ROUNDDOWN(P21!F84+N(F80)-N(F83),2)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Dados)",EDATE(Dados!$B$7,22))</f>
        <v>(informe o período inicial na aba Dados)</v>
      </c>
      <c r="C7" s="34"/>
      <c r="D7" s="34"/>
      <c r="E7" s="8" t="s">
        <v>217</v>
      </c>
      <c r="F7" s="8"/>
      <c r="G7" s="23" t="s">
        <v>296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ROUNDDOWN(P22!F84+N(F80)-N(F83),2)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Dados)",EDATE(Dados!$B$7,23))</f>
        <v>(informe o período inicial na aba Dados)</v>
      </c>
      <c r="C7" s="34"/>
      <c r="D7" s="34"/>
      <c r="E7" s="8" t="s">
        <v>217</v>
      </c>
      <c r="F7" s="8"/>
      <c r="G7" s="23" t="s">
        <v>297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ROUNDDOWN(P23!F84+N(F80)-N(F83),2)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Dados)",EDATE(Dados!$B$7,24))</f>
        <v>(informe o período inicial na aba Dados)</v>
      </c>
      <c r="C7" s="34"/>
      <c r="D7" s="34"/>
      <c r="E7" s="8" t="s">
        <v>217</v>
      </c>
      <c r="F7" s="8"/>
      <c r="G7" s="23" t="s">
        <v>298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ROUNDDOWN(P24!F84+N(F80)-N(F83),2)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Dados)",EDATE(Dados!$B$7,25))</f>
        <v>(informe o período inicial na aba Dados)</v>
      </c>
      <c r="C7" s="34"/>
      <c r="D7" s="34"/>
      <c r="E7" s="8" t="s">
        <v>217</v>
      </c>
      <c r="F7" s="8"/>
      <c r="G7" s="23" t="s">
        <v>299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ROUNDDOWN(P25!F84+N(F80)-N(F83),2)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Dados)",EDATE(Dados!$B$7,26))</f>
        <v>(informe o período inicial na aba Dados)</v>
      </c>
      <c r="C7" s="34"/>
      <c r="D7" s="34"/>
      <c r="E7" s="8" t="s">
        <v>217</v>
      </c>
      <c r="F7" s="8"/>
      <c r="G7" s="23" t="s">
        <v>300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ROUNDDOWN(P26!F84+N(F80)-N(F83),2)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Dados)",EDATE(Dados!$B$7,27))</f>
        <v>(informe o período inicial na aba Dados)</v>
      </c>
      <c r="C7" s="34"/>
      <c r="D7" s="34"/>
      <c r="E7" s="8" t="s">
        <v>217</v>
      </c>
      <c r="F7" s="8"/>
      <c r="G7" s="23" t="s">
        <v>301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ROUNDDOWN(P27!F84+N(F80)-N(F83),2)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Dados)",EDATE(Dados!$B$7,28))</f>
        <v>(informe o período inicial na aba Dados)</v>
      </c>
      <c r="C7" s="34"/>
      <c r="D7" s="34"/>
      <c r="E7" s="8" t="s">
        <v>217</v>
      </c>
      <c r="F7" s="8"/>
      <c r="G7" s="23" t="s">
        <v>302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ROUNDDOWN(P28!F84+N(F80)-N(F83),2)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Dados)",EDATE(Dados!$B$7,29))</f>
        <v>(informe o período inicial na aba Dados)</v>
      </c>
      <c r="C7" s="34"/>
      <c r="D7" s="34"/>
      <c r="E7" s="8" t="s">
        <v>217</v>
      </c>
      <c r="F7" s="8"/>
      <c r="G7" s="23" t="s">
        <v>303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ROUNDDOWN(P29!F84+N(F80)-N(F83),2)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Dados)",EDATE(Dados!$B$7,30))</f>
        <v>(informe o período inicial na aba Dados)</v>
      </c>
      <c r="C7" s="34"/>
      <c r="D7" s="34"/>
      <c r="E7" s="8" t="s">
        <v>217</v>
      </c>
      <c r="F7" s="8"/>
      <c r="G7" s="23" t="s">
        <v>304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ROUNDDOWN(P30!F84+N(F80)-N(F83),2)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Dados)",EDATE(Dados!$B$7,31))</f>
        <v>(informe o período inicial na aba Dados)</v>
      </c>
      <c r="C7" s="34"/>
      <c r="D7" s="34"/>
      <c r="E7" s="8" t="s">
        <v>217</v>
      </c>
      <c r="F7" s="8"/>
      <c r="G7" s="23" t="s">
        <v>305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ROUNDDOWN(P31!F84+N(F80)-N(F83),2)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Dados)",EDATE(Dados!$B$7,32))</f>
        <v>(informe o período inicial na aba Dados)</v>
      </c>
      <c r="C7" s="34"/>
      <c r="D7" s="34"/>
      <c r="E7" s="8" t="s">
        <v>217</v>
      </c>
      <c r="F7" s="8"/>
      <c r="G7" s="23" t="s">
        <v>306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ROUNDDOWN(P32!F84+N(F80)-N(F83),2)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Dados)",EDATE(Dados!$B$7,33))</f>
        <v>(informe o período inicial na aba Dados)</v>
      </c>
      <c r="C7" s="34"/>
      <c r="D7" s="34"/>
      <c r="E7" s="8" t="s">
        <v>217</v>
      </c>
      <c r="F7" s="8"/>
      <c r="G7" s="23" t="s">
        <v>307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ROUNDDOWN(P33!F84+N(F80)-N(F83),2)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Dados)",EDATE(Dados!$B$7,34))</f>
        <v>(informe o período inicial na aba Dados)</v>
      </c>
      <c r="C7" s="34"/>
      <c r="D7" s="34"/>
      <c r="E7" s="8" t="s">
        <v>217</v>
      </c>
      <c r="F7" s="8"/>
      <c r="G7" s="23" t="s">
        <v>308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ROUNDDOWN(P34!F84+N(F80)-N(F83),2)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Dados)",EDATE(Dados!$B$7,35))</f>
        <v>(informe o período inicial na aba Dados)</v>
      </c>
      <c r="C7" s="34"/>
      <c r="D7" s="34"/>
      <c r="E7" s="8" t="s">
        <v>217</v>
      </c>
      <c r="F7" s="8"/>
      <c r="G7" s="23" t="s">
        <v>309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ROUNDDOWN(P35!F84+N(F80)-N(F83),2)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Dados)",EDATE(Dados!$B$7,36))</f>
        <v>(informe o período inicial na aba Dados)</v>
      </c>
      <c r="C7" s="34"/>
      <c r="D7" s="34"/>
      <c r="E7" s="8" t="s">
        <v>217</v>
      </c>
      <c r="F7" s="8"/>
      <c r="G7" s="23" t="s">
        <v>310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ROUNDDOWN(P36!F84+N(F80)-N(F83),2)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Dados)",EDATE(Dados!$B$7,37))</f>
        <v>(informe o período inicial na aba Dados)</v>
      </c>
      <c r="C7" s="34"/>
      <c r="D7" s="34"/>
      <c r="E7" s="8" t="s">
        <v>217</v>
      </c>
      <c r="F7" s="8"/>
      <c r="G7" s="23" t="s">
        <v>311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ROUNDDOWN(P37!F84+N(F80)-N(F83),2)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Dados)",EDATE(Dados!$B$7,38))</f>
        <v>(informe o período inicial na aba Dados)</v>
      </c>
      <c r="C7" s="34"/>
      <c r="D7" s="34"/>
      <c r="E7" s="8" t="s">
        <v>217</v>
      </c>
      <c r="F7" s="8"/>
      <c r="G7" s="23" t="s">
        <v>312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ROUNDDOWN(P38!F84+N(F80)-N(F83),2)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Dados)",EDATE(Dados!$B$7,39))</f>
        <v>(informe o período inicial na aba Dados)</v>
      </c>
      <c r="C7" s="34"/>
      <c r="D7" s="34"/>
      <c r="E7" s="8" t="s">
        <v>217</v>
      </c>
      <c r="F7" s="8"/>
      <c r="G7" s="23" t="s">
        <v>313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ROUNDDOWN(P39!F84+N(F80)-N(F83),2)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Dados)",EDATE(Dados!$B$7,40))</f>
        <v>(informe o período inicial na aba Dados)</v>
      </c>
      <c r="C7" s="34"/>
      <c r="D7" s="34"/>
      <c r="E7" s="8" t="s">
        <v>217</v>
      </c>
      <c r="F7" s="8"/>
      <c r="G7" s="23" t="s">
        <v>314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ROUNDDOWN(P40!F84+N(F80)-N(F83),2)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Dados)",EDATE(Dados!$B$7,41))</f>
        <v>(informe o período inicial na aba Dados)</v>
      </c>
      <c r="C7" s="34"/>
      <c r="D7" s="34"/>
      <c r="E7" s="8" t="s">
        <v>217</v>
      </c>
      <c r="F7" s="8"/>
      <c r="G7" s="23" t="s">
        <v>315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ROUNDDOWN(P41!F84+N(F80)-N(F83),2)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Dados)",EDATE(Dados!$B$7,42))</f>
        <v>(informe o período inicial na aba Dados)</v>
      </c>
      <c r="C7" s="34"/>
      <c r="D7" s="34"/>
      <c r="E7" s="8" t="s">
        <v>217</v>
      </c>
      <c r="F7" s="8"/>
      <c r="G7" s="23" t="s">
        <v>316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ROUNDDOWN(P42!F84+N(F80)-N(F83),2)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Dados)",EDATE(Dados!$B$7,43))</f>
        <v>(informe o período inicial na aba Dados)</v>
      </c>
      <c r="C7" s="34"/>
      <c r="D7" s="34"/>
      <c r="E7" s="8" t="s">
        <v>217</v>
      </c>
      <c r="F7" s="8"/>
      <c r="G7" s="23" t="s">
        <v>317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ROUNDDOWN(P43!F84+N(F80)-N(F83),2)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Dados)",EDATE(Dados!$B$7,44))</f>
        <v>(informe o período inicial na aba Dados)</v>
      </c>
      <c r="C7" s="34"/>
      <c r="D7" s="34"/>
      <c r="E7" s="8" t="s">
        <v>217</v>
      </c>
      <c r="F7" s="8"/>
      <c r="G7" s="23" t="s">
        <v>318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ROUNDDOWN(P44!F84+N(F80)-N(F83),2)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Dados)",EDATE(Dados!$B$7,45))</f>
        <v>(informe o período inicial na aba Dados)</v>
      </c>
      <c r="C7" s="34"/>
      <c r="D7" s="34"/>
      <c r="E7" s="8" t="s">
        <v>217</v>
      </c>
      <c r="F7" s="8"/>
      <c r="G7" s="23" t="s">
        <v>319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ROUNDDOWN(P45!F84+N(F80)-N(F83),2)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Dados)",EDATE(Dados!$B$7,46))</f>
        <v>(informe o período inicial na aba Dados)</v>
      </c>
      <c r="C7" s="34"/>
      <c r="D7" s="34"/>
      <c r="E7" s="8" t="s">
        <v>217</v>
      </c>
      <c r="F7" s="8"/>
      <c r="G7" s="23" t="s">
        <v>320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ROUNDDOWN(P46!F84+N(F80)-N(F83),2)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Dados)",EDATE(Dados!$B$7,47))</f>
        <v>(informe o período inicial na aba Dados)</v>
      </c>
      <c r="C7" s="34"/>
      <c r="D7" s="34"/>
      <c r="E7" s="8" t="s">
        <v>217</v>
      </c>
      <c r="F7" s="8"/>
      <c r="G7" s="23" t="s">
        <v>321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ROUNDDOWN(P47!F84+N(F80)-N(F83),2)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Dados)",EDATE(Dados!$B$7,48))</f>
        <v>(informe o período inicial na aba Dados)</v>
      </c>
      <c r="C7" s="34"/>
      <c r="D7" s="34"/>
      <c r="E7" s="8" t="s">
        <v>217</v>
      </c>
      <c r="F7" s="8"/>
      <c r="G7" s="23" t="s">
        <v>322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ROUNDDOWN(P48!F84+N(F80)-N(F83),2)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Dados)",EDATE(Dados!$B$7,49))</f>
        <v>(informe o período inicial na aba Dados)</v>
      </c>
      <c r="C7" s="34"/>
      <c r="D7" s="34"/>
      <c r="E7" s="8" t="s">
        <v>217</v>
      </c>
      <c r="F7" s="8"/>
      <c r="G7" s="23" t="s">
        <v>323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ROUNDDOWN(P49!F84+N(F80)-N(F83),2)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Dados)",EDATE(Dados!$B$7,50))</f>
        <v>(informe o período inicial na aba Dados)</v>
      </c>
      <c r="C7" s="34"/>
      <c r="D7" s="34"/>
      <c r="E7" s="8" t="s">
        <v>217</v>
      </c>
      <c r="F7" s="8"/>
      <c r="G7" s="23" t="s">
        <v>324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ROUNDDOWN(P50!F84+N(F80)-N(F83),2)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Dados)",EDATE(Dados!$B$7,51))</f>
        <v>(informe o período inicial na aba Dados)</v>
      </c>
      <c r="C7" s="34"/>
      <c r="D7" s="34"/>
      <c r="E7" s="8" t="s">
        <v>217</v>
      </c>
      <c r="F7" s="8"/>
      <c r="G7" s="23" t="s">
        <v>325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ROUNDDOWN(P51!F84+N(F80)-N(F83),2)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Dados)",EDATE(Dados!$B$7,52))</f>
        <v>(informe o período inicial na aba Dados)</v>
      </c>
      <c r="C7" s="34"/>
      <c r="D7" s="34"/>
      <c r="E7" s="8" t="s">
        <v>217</v>
      </c>
      <c r="F7" s="8"/>
      <c r="G7" s="23" t="s">
        <v>326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ROUNDDOWN(P52!F84+N(F80)-N(F83),2)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Dados)",EDATE(Dados!$B$7,53))</f>
        <v>(informe o período inicial na aba Dados)</v>
      </c>
      <c r="C7" s="34"/>
      <c r="D7" s="34"/>
      <c r="E7" s="8" t="s">
        <v>217</v>
      </c>
      <c r="F7" s="8"/>
      <c r="G7" s="23" t="s">
        <v>327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ROUNDDOWN(P53!F84+N(F80)-N(F83),2)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Dados)",EDATE(Dados!$B$7,54))</f>
        <v>(informe o período inicial na aba Dados)</v>
      </c>
      <c r="C7" s="34"/>
      <c r="D7" s="34"/>
      <c r="E7" s="8" t="s">
        <v>217</v>
      </c>
      <c r="F7" s="8"/>
      <c r="G7" s="23" t="s">
        <v>328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ROUNDDOWN(P54!F84+N(F80)-N(F83),2)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Dados)",EDATE(Dados!$B$7,55))</f>
        <v>(informe o período inicial na aba Dados)</v>
      </c>
      <c r="C7" s="34"/>
      <c r="D7" s="34"/>
      <c r="E7" s="8" t="s">
        <v>217</v>
      </c>
      <c r="F7" s="8"/>
      <c r="G7" s="23" t="s">
        <v>329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ROUNDDOWN(P55!F84+N(F80)-N(F83),2)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Dados)",EDATE(Dados!$B$7,56))</f>
        <v>(informe o período inicial na aba Dados)</v>
      </c>
      <c r="C7" s="34"/>
      <c r="D7" s="34"/>
      <c r="E7" s="8" t="s">
        <v>217</v>
      </c>
      <c r="F7" s="8"/>
      <c r="G7" s="23" t="s">
        <v>330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ROUNDDOWN(P56!F84+N(F80)-N(F83),2)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Dados)",EDATE(Dados!$B$7,57))</f>
        <v>(informe o período inicial na aba Dados)</v>
      </c>
      <c r="C7" s="34"/>
      <c r="D7" s="34"/>
      <c r="E7" s="8" t="s">
        <v>217</v>
      </c>
      <c r="F7" s="8"/>
      <c r="G7" s="23" t="s">
        <v>331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ROUNDDOWN(P57!F84+N(F80)-N(F83),2)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Dados)",EDATE(Dados!$B$7,58))</f>
        <v>(informe o período inicial na aba Dados)</v>
      </c>
      <c r="C7" s="34"/>
      <c r="D7" s="34"/>
      <c r="E7" s="8" t="s">
        <v>217</v>
      </c>
      <c r="F7" s="8"/>
      <c r="G7" s="23" t="s">
        <v>332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ROUNDDOWN(P58!F84+N(F80)-N(F83),2)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11"/>
  </cols>
  <sheetData>
    <row r="1" customFormat="false" ht="16.5" hidden="false" customHeight="true" outlineLevel="0" collapsed="false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8.75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A3" s="32" t="str">
        <f aca="false">IF(Dados!$B$6="","",Dados!$B$6)</f>
        <v>Atualizado conforme Valor Unitário Contratado inicial</v>
      </c>
      <c r="B3" s="32"/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A5" s="8" t="s">
        <v>73</v>
      </c>
      <c r="B5" s="33" t="str">
        <f aca="false">IF(Dados!$B$2="","",Dados!$B$2)</f>
        <v>04/24</v>
      </c>
      <c r="C5" s="33"/>
      <c r="D5" s="33"/>
      <c r="E5" s="8" t="s">
        <v>75</v>
      </c>
      <c r="F5" s="8"/>
      <c r="G5" s="33" t="str">
        <f aca="false">IF(Dados!$B$3="","",Dados!$B$3)</f>
        <v>CBAE</v>
      </c>
      <c r="H5" s="33"/>
      <c r="I5" s="33"/>
      <c r="J5" s="33"/>
    </row>
    <row r="6" customFormat="false" ht="15" hidden="false" customHeight="false" outlineLevel="0" collapsed="false">
      <c r="A6" s="8" t="s">
        <v>77</v>
      </c>
      <c r="B6" s="33" t="str">
        <f aca="false">IF(Dados!$B$4="","",Dados!$B$4)</f>
        <v>Angels</v>
      </c>
      <c r="C6" s="33"/>
      <c r="D6" s="33"/>
      <c r="E6" s="8" t="s">
        <v>79</v>
      </c>
      <c r="F6" s="8"/>
      <c r="G6" s="33" t="str">
        <f aca="false">IF(Dados!$B$5="","",Dados!$B$5)</f>
        <v/>
      </c>
      <c r="H6" s="33"/>
      <c r="I6" s="33"/>
      <c r="J6" s="33"/>
    </row>
    <row r="7" customFormat="false" ht="15" hidden="false" customHeight="false" outlineLevel="0" collapsed="false">
      <c r="A7" s="8" t="s">
        <v>216</v>
      </c>
      <c r="B7" s="34" t="str">
        <f aca="false">IF(Dados!$B$7="","(informe o período inicial na aba Dados)",EDATE(Dados!$B$7,59))</f>
        <v>(informe o período inicial na aba Dados)</v>
      </c>
      <c r="C7" s="34"/>
      <c r="D7" s="34"/>
      <c r="E7" s="8" t="s">
        <v>217</v>
      </c>
      <c r="F7" s="8"/>
      <c r="G7" s="23" t="s">
        <v>333</v>
      </c>
      <c r="H7" s="23"/>
      <c r="I7" s="23"/>
      <c r="J7" s="23"/>
    </row>
    <row r="8" customFormat="false" ht="24" hidden="false" customHeight="true" outlineLevel="0" collapsed="false">
      <c r="A8" s="35" t="s">
        <v>219</v>
      </c>
      <c r="B8" s="35"/>
      <c r="C8" s="35"/>
      <c r="D8" s="35"/>
      <c r="E8" s="35"/>
      <c r="F8" s="35"/>
      <c r="G8" s="35"/>
      <c r="H8" s="35"/>
      <c r="I8" s="35"/>
      <c r="J8" s="35"/>
    </row>
    <row r="10" customFormat="false" ht="16.5" hidden="false" customHeight="true" outlineLevel="0" collapsed="false">
      <c r="A10" s="7" t="s">
        <v>220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7.75" hidden="false" customHeight="true" outlineLevel="0" collapsed="false">
      <c r="A11" s="11" t="s">
        <v>99</v>
      </c>
      <c r="B11" s="11" t="s">
        <v>221</v>
      </c>
      <c r="C11" s="11" t="s">
        <v>222</v>
      </c>
      <c r="D11" s="11" t="s">
        <v>223</v>
      </c>
      <c r="E11" s="11" t="s">
        <v>224</v>
      </c>
      <c r="F11" s="18" t="s">
        <v>225</v>
      </c>
      <c r="G11" s="18"/>
      <c r="H11" s="18"/>
      <c r="I11" s="18"/>
      <c r="J11" s="18"/>
    </row>
    <row r="12" customFormat="false" ht="16.5" hidden="false" customHeight="true" outlineLevel="0" collapsed="false">
      <c r="A12" s="36" t="s">
        <v>226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7" t="str">
        <f aca="false">Dados!$B$36</f>
        <v>Cumprimento das Atividades</v>
      </c>
      <c r="B13" s="26" t="n">
        <f aca="false">Dados!$C$36</f>
        <v>0.4</v>
      </c>
      <c r="C13" s="12" t="n">
        <v>3</v>
      </c>
      <c r="D13" s="38" t="n">
        <f aca="false">B13*C13</f>
        <v>1.2</v>
      </c>
      <c r="E13" s="19" t="str">
        <f aca="false">IF(OR(C13=0,C13=1,C13=3),"✓ Ok","⛔ Inválida")</f>
        <v>✓ Ok</v>
      </c>
      <c r="F13" s="35" t="str">
        <f aca="false">IF(OR(C13=0,C13=1),"⚠ Favor inserir justificativa da nota "&amp;C13&amp;" no campo JUSTIFICATIVAS","")</f>
        <v/>
      </c>
      <c r="G13" s="35"/>
      <c r="H13" s="35"/>
      <c r="I13" s="35"/>
      <c r="J13" s="35"/>
    </row>
    <row r="14" customFormat="false" ht="15" hidden="false" customHeight="false" outlineLevel="0" collapsed="false">
      <c r="A14" s="37" t="str">
        <f aca="false">Dados!$B$37</f>
        <v>Qualificação / Atendimento ao Público / Postura</v>
      </c>
      <c r="B14" s="26" t="n">
        <f aca="false">Dados!$C$37</f>
        <v>0.35</v>
      </c>
      <c r="C14" s="12" t="n">
        <v>3</v>
      </c>
      <c r="D14" s="38" t="n">
        <f aca="false">B14*C14</f>
        <v>1.05</v>
      </c>
      <c r="E14" s="19" t="str">
        <f aca="false">IF(OR(C14=0,C14=1,C14=3),"✓ Ok","⛔ Inválida")</f>
        <v>✓ Ok</v>
      </c>
      <c r="F14" s="35" t="str">
        <f aca="false">IF(OR(C14=0,C14=1),"⚠ Favor inserir justificativa da nota "&amp;C14&amp;" no campo JUSTIFICATIVAS","")</f>
        <v/>
      </c>
      <c r="G14" s="35"/>
      <c r="H14" s="35"/>
      <c r="I14" s="35"/>
      <c r="J14" s="35"/>
    </row>
    <row r="15" customFormat="false" ht="15" hidden="false" customHeight="false" outlineLevel="0" collapsed="false">
      <c r="A15" s="37" t="str">
        <f aca="false">Dados!$B$38</f>
        <v>Uniformes e Identificação</v>
      </c>
      <c r="B15" s="26" t="n">
        <f aca="false">Dados!$C$38</f>
        <v>0.25</v>
      </c>
      <c r="C15" s="12" t="n">
        <v>3</v>
      </c>
      <c r="D15" s="38" t="n">
        <f aca="false">B15*C15</f>
        <v>0.75</v>
      </c>
      <c r="E15" s="19" t="str">
        <f aca="false">IF(OR(C15=0,C15=1,C15=3),"✓ Ok","⛔ Inválida")</f>
        <v>✓ Ok</v>
      </c>
      <c r="F15" s="35" t="str">
        <f aca="false">IF(OR(C15=0,C15=1),"⚠ Favor inserir justificativa da nota "&amp;C15&amp;" no campo JUSTIFICATIVAS","")</f>
        <v/>
      </c>
      <c r="G15" s="35"/>
      <c r="H15" s="35"/>
      <c r="I15" s="35"/>
      <c r="J15" s="35"/>
    </row>
    <row r="16" customFormat="false" ht="15" hidden="false" customHeight="false" outlineLevel="0" collapsed="false">
      <c r="A16" s="8" t="s">
        <v>227</v>
      </c>
      <c r="B16" s="22" t="n">
        <f aca="false">SUM(B13:B15)</f>
        <v>1</v>
      </c>
      <c r="C16" s="17"/>
      <c r="D16" s="38" t="n">
        <f aca="false">SUM(D13:D15)</f>
        <v>3</v>
      </c>
      <c r="E16" s="17"/>
      <c r="F16" s="39"/>
      <c r="G16" s="39"/>
      <c r="H16" s="39"/>
      <c r="I16" s="39"/>
      <c r="J16" s="39"/>
    </row>
    <row r="17" customFormat="false" ht="16.5" hidden="false" customHeight="true" outlineLevel="0" collapsed="false">
      <c r="A17" s="36" t="s">
        <v>228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7" t="str">
        <f aca="false">Dados!$B$39</f>
        <v>Especificação Técnica dos Serviços</v>
      </c>
      <c r="B18" s="26" t="n">
        <f aca="false">Dados!$C$39</f>
        <v>0.4</v>
      </c>
      <c r="C18" s="12" t="n">
        <v>3</v>
      </c>
      <c r="D18" s="38" t="n">
        <f aca="false">B18*C18</f>
        <v>1.2</v>
      </c>
      <c r="E18" s="19" t="str">
        <f aca="false">IF(OR(C18=0,C18=1,C18=3),"✓ Ok","⛔ Inválida")</f>
        <v>✓ Ok</v>
      </c>
      <c r="F18" s="35" t="str">
        <f aca="false">IF(OR(C18=0,C18=1),"⚠ Favor inserir justificativa da nota "&amp;C18&amp;" no campo JUSTIFICATIVAS","")</f>
        <v/>
      </c>
      <c r="G18" s="35"/>
      <c r="H18" s="35"/>
      <c r="I18" s="35"/>
      <c r="J18" s="35"/>
    </row>
    <row r="19" customFormat="false" ht="15" hidden="false" customHeight="false" outlineLevel="0" collapsed="false">
      <c r="A19" s="37" t="str">
        <f aca="false">Dados!$B$40</f>
        <v>Equipamentos e Acessórios</v>
      </c>
      <c r="B19" s="26" t="n">
        <f aca="false">Dados!$C$40</f>
        <v>0.2</v>
      </c>
      <c r="C19" s="12" t="n">
        <v>3</v>
      </c>
      <c r="D19" s="38" t="n">
        <f aca="false">B19*C19</f>
        <v>0.6</v>
      </c>
      <c r="E19" s="19" t="str">
        <f aca="false">IF(OR(C19=0,C19=1,C19=3),"✓ Ok","⛔ Inválida")</f>
        <v>✓ Ok</v>
      </c>
      <c r="F19" s="35" t="str">
        <f aca="false">IF(OR(C19=0,C19=1),"⚠ Favor inserir justificativa da nota "&amp;C19&amp;" no campo JUSTIFICATIVAS","")</f>
        <v/>
      </c>
      <c r="G19" s="35"/>
      <c r="H19" s="35"/>
      <c r="I19" s="35"/>
      <c r="J19" s="35"/>
    </row>
    <row r="20" customFormat="false" ht="15" hidden="false" customHeight="false" outlineLevel="0" collapsed="false">
      <c r="A20" s="37" t="str">
        <f aca="false">Dados!$B$41</f>
        <v>Atendimento às Ocorrências</v>
      </c>
      <c r="B20" s="26" t="n">
        <f aca="false">Dados!$C$41</f>
        <v>0.4</v>
      </c>
      <c r="C20" s="12" t="n">
        <v>3</v>
      </c>
      <c r="D20" s="38" t="n">
        <f aca="false">B20*C20</f>
        <v>1.2</v>
      </c>
      <c r="E20" s="19" t="str">
        <f aca="false">IF(OR(C20=0,C20=1,C20=3),"✓ Ok","⛔ Inválida")</f>
        <v>✓ Ok</v>
      </c>
      <c r="F20" s="35" t="str">
        <f aca="false">IF(OR(C20=0,C20=1),"⚠ Favor inserir justificativa da nota "&amp;C20&amp;" no campo JUSTIFICATIVAS","")</f>
        <v/>
      </c>
      <c r="G20" s="35"/>
      <c r="H20" s="35"/>
      <c r="I20" s="35"/>
      <c r="J20" s="35"/>
    </row>
    <row r="21" customFormat="false" ht="15" hidden="false" customHeight="false" outlineLevel="0" collapsed="false">
      <c r="A21" s="8" t="s">
        <v>229</v>
      </c>
      <c r="B21" s="22" t="n">
        <f aca="false">SUM(B18:B20)</f>
        <v>1</v>
      </c>
      <c r="C21" s="17"/>
      <c r="D21" s="38" t="n">
        <f aca="false">SUM(D18:D20)</f>
        <v>3</v>
      </c>
      <c r="E21" s="17"/>
      <c r="F21" s="39"/>
      <c r="G21" s="39"/>
      <c r="H21" s="39"/>
      <c r="I21" s="39"/>
      <c r="J21" s="39"/>
    </row>
    <row r="22" customFormat="false" ht="16.5" hidden="false" customHeight="true" outlineLevel="0" collapsed="false">
      <c r="A22" s="36" t="s">
        <v>230</v>
      </c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7" t="str">
        <f aca="false">Dados!$B$42</f>
        <v>Periodicidade da Supervisão</v>
      </c>
      <c r="B23" s="26" t="n">
        <f aca="false">Dados!$C$42</f>
        <v>0.2</v>
      </c>
      <c r="C23" s="12" t="n">
        <v>3</v>
      </c>
      <c r="D23" s="38" t="n">
        <f aca="false">B23*C23</f>
        <v>0.6</v>
      </c>
      <c r="E23" s="19" t="str">
        <f aca="false">IF(OR(C23=0,C23=1,C23=3),"✓ Ok","⛔ Inválida")</f>
        <v>✓ Ok</v>
      </c>
      <c r="F23" s="35" t="str">
        <f aca="false">IF(OR(C23=0,C23=1),"⚠ Favor inserir justificativa da nota "&amp;C23&amp;" no campo JUSTIFICATIVAS","")</f>
        <v/>
      </c>
      <c r="G23" s="35"/>
      <c r="H23" s="35"/>
      <c r="I23" s="35"/>
      <c r="J23" s="35"/>
    </row>
    <row r="24" customFormat="false" ht="15" hidden="false" customHeight="false" outlineLevel="0" collapsed="false">
      <c r="A24" s="37" t="str">
        <f aca="false">Dados!$B$43</f>
        <v>Gerenciamento das Atividades Operacionais</v>
      </c>
      <c r="B24" s="26" t="n">
        <f aca="false">Dados!$C$43</f>
        <v>0.3</v>
      </c>
      <c r="C24" s="12" t="n">
        <v>3</v>
      </c>
      <c r="D24" s="38" t="n">
        <f aca="false">B24*C24</f>
        <v>0.9</v>
      </c>
      <c r="E24" s="19" t="str">
        <f aca="false">IF(OR(C24=0,C24=1,C24=3),"✓ Ok","⛔ Inválida")</f>
        <v>✓ Ok</v>
      </c>
      <c r="F24" s="35" t="str">
        <f aca="false">IF(OR(C24=0,C24=1),"⚠ Favor inserir justificativa da nota "&amp;C24&amp;" no campo JUSTIFICATIVAS","")</f>
        <v/>
      </c>
      <c r="G24" s="35"/>
      <c r="H24" s="35"/>
      <c r="I24" s="35"/>
      <c r="J24" s="35"/>
    </row>
    <row r="25" customFormat="false" ht="15" hidden="false" customHeight="false" outlineLevel="0" collapsed="false">
      <c r="A25" s="37" t="str">
        <f aca="false">Dados!$B$44</f>
        <v>Atendimento às Solicitações</v>
      </c>
      <c r="B25" s="26" t="n">
        <f aca="false">Dados!$C$44</f>
        <v>0.25</v>
      </c>
      <c r="C25" s="12" t="n">
        <v>3</v>
      </c>
      <c r="D25" s="38" t="n">
        <f aca="false">B25*C25</f>
        <v>0.75</v>
      </c>
      <c r="E25" s="19" t="str">
        <f aca="false">IF(OR(C25=0,C25=1,C25=3),"✓ Ok","⛔ Inválida")</f>
        <v>✓ Ok</v>
      </c>
      <c r="F25" s="35" t="str">
        <f aca="false">IF(OR(C25=0,C25=1),"⚠ Favor inserir justificativa da nota "&amp;C25&amp;" no campo JUSTIFICATIVAS","")</f>
        <v/>
      </c>
      <c r="G25" s="35"/>
      <c r="H25" s="35"/>
      <c r="I25" s="35"/>
      <c r="J25" s="35"/>
    </row>
    <row r="26" customFormat="false" ht="23.85" hidden="false" customHeight="false" outlineLevel="0" collapsed="false">
      <c r="A26" s="40" t="str">
        <f aca="false">Dados!$B$45</f>
        <v>Salários, Benefícios e Obrigações Trabalhistas (¹ Fiscal Adm.)</v>
      </c>
      <c r="B26" s="41" t="n">
        <f aca="false">Dados!$C$45</f>
        <v>0.25</v>
      </c>
      <c r="C26" s="12" t="n">
        <v>3</v>
      </c>
      <c r="D26" s="38" t="n">
        <f aca="false">B26*C26</f>
        <v>0.75</v>
      </c>
      <c r="E26" s="42" t="str">
        <f aca="false">IF(OR(C26=0,C26=1,C26=3),"✓ Ok","⛔ Inválida")</f>
        <v>✓ Ok</v>
      </c>
      <c r="F26" s="43" t="str">
        <f aca="false">IF(OR(C26=0,C26=1),"⚠ Favor inserir justificativa da nota "&amp;C26&amp;" no campo JUSTIFICATIVAS","")</f>
        <v/>
      </c>
      <c r="G26" s="43"/>
      <c r="H26" s="43"/>
      <c r="I26" s="43"/>
      <c r="J26" s="43"/>
    </row>
    <row r="27" customFormat="false" ht="15" hidden="false" customHeight="false" outlineLevel="0" collapsed="false">
      <c r="A27" s="8" t="s">
        <v>231</v>
      </c>
      <c r="B27" s="22" t="n">
        <f aca="false">SUM(B23:B26)</f>
        <v>1</v>
      </c>
      <c r="C27" s="17"/>
      <c r="D27" s="38" t="n">
        <f aca="false">SUM(D23:D26)</f>
        <v>3</v>
      </c>
      <c r="E27" s="17"/>
      <c r="F27" s="39"/>
      <c r="G27" s="39"/>
      <c r="H27" s="39"/>
      <c r="I27" s="39"/>
      <c r="J27" s="39"/>
    </row>
    <row r="28" customFormat="false" ht="24" hidden="false" customHeight="true" outlineLevel="0" collapsed="false">
      <c r="A28" s="3" t="s">
        <v>232</v>
      </c>
      <c r="B28" s="3"/>
      <c r="C28" s="3"/>
      <c r="D28" s="44" t="n">
        <f aca="false">D16+D21+D27</f>
        <v>9</v>
      </c>
      <c r="E28" s="45" t="s">
        <v>233</v>
      </c>
      <c r="F28" s="46" t="str">
        <f aca="false">INDEX(Dados!$B$50:$B$55,MATCH(D28,Dados!$A$50:$A$55,1))</f>
        <v>A</v>
      </c>
      <c r="G28" s="47" t="s">
        <v>234</v>
      </c>
      <c r="H28" s="47"/>
      <c r="I28" s="47"/>
      <c r="J28" s="47"/>
    </row>
    <row r="30" customFormat="false" ht="16.5" hidden="false" customHeight="true" outlineLevel="0" collapsed="false">
      <c r="A30" s="7" t="s">
        <v>235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31.5" hidden="false" customHeight="true" outlineLevel="0" collapsed="false">
      <c r="A31" s="11" t="s">
        <v>85</v>
      </c>
      <c r="B31" s="11" t="s">
        <v>86</v>
      </c>
      <c r="C31" s="11" t="s">
        <v>236</v>
      </c>
      <c r="D31" s="11" t="s">
        <v>237</v>
      </c>
      <c r="E31" s="11" t="s">
        <v>238</v>
      </c>
      <c r="F31" s="11" t="s">
        <v>239</v>
      </c>
      <c r="G31" s="11" t="s">
        <v>240</v>
      </c>
      <c r="H31" s="11" t="s">
        <v>241</v>
      </c>
      <c r="I31" s="11" t="s">
        <v>242</v>
      </c>
      <c r="J31" s="11"/>
    </row>
    <row r="32" customFormat="false" ht="15" hidden="false" customHeight="false" outlineLevel="0" collapsed="false">
      <c r="A32" s="48" t="n">
        <f aca="false">IF(Dados!$A$12="","",Dados!$A$12)</f>
        <v>1</v>
      </c>
      <c r="B32" s="33" t="str">
        <f aca="false">IF(Dados!$B$12="","",Dados!$B$12)</f>
        <v>Vigilante Diurno 12x36 (exemplo)</v>
      </c>
      <c r="C32" s="48" t="n">
        <f aca="false">IF(Dados!$C$12="","",Dados!$C$12)</f>
        <v>2</v>
      </c>
      <c r="D32" s="49" t="n">
        <f aca="false">IF(Dados!$D$12="","",Dados!$D$12)</f>
        <v>5996.89</v>
      </c>
      <c r="E32" s="50" t="n">
        <f aca="false">IF(C32="","",C32*220)</f>
        <v>440</v>
      </c>
      <c r="F32" s="12"/>
      <c r="G32" s="51" t="n">
        <f aca="false">IF(C32="","",IF(C32&gt;0,ROUNDDOWN(N(D32)/220,2),0))</f>
        <v>27.25</v>
      </c>
      <c r="H32" s="52" t="n">
        <f aca="false">IF(C32="","",IF(AND(C32&gt;0,N(D32)&gt;0),MAX(0,ROUNDDOWN((C32*N(D32)-G32*N(F32))/30*$F$75*$F$71,2)),0))</f>
        <v>11993.78</v>
      </c>
      <c r="I32" s="51" t="n">
        <f aca="false">IF(C32="","",ROUNDDOWN(C32*N(D32),2))</f>
        <v>11993.78</v>
      </c>
      <c r="J32" s="15"/>
    </row>
    <row r="33" customFormat="false" ht="15" hidden="false" customHeight="false" outlineLevel="0" collapsed="false">
      <c r="A33" s="48" t="str">
        <f aca="false">IF(Dados!$A$13="","",Dados!$A$13)</f>
        <v/>
      </c>
      <c r="B33" s="33" t="str">
        <f aca="false">IF(Dados!$B$13="","",Dados!$B$13)</f>
        <v/>
      </c>
      <c r="C33" s="48" t="str">
        <f aca="false">IF(Dados!$C$13="","",Dados!$C$13)</f>
        <v/>
      </c>
      <c r="D33" s="49" t="str">
        <f aca="false">IF(Dados!$D$13="","",Dados!$D$13)</f>
        <v/>
      </c>
      <c r="E33" s="50" t="str">
        <f aca="false">IF(C33="","",C33*220)</f>
        <v/>
      </c>
      <c r="F33" s="12"/>
      <c r="G33" s="51" t="str">
        <f aca="false">IF(C33="","",IF(C33&gt;0,ROUNDDOWN(N(D33)/220,2),0))</f>
        <v/>
      </c>
      <c r="H33" s="52" t="str">
        <f aca="false">IF(C33="","",IF(AND(C33&gt;0,N(D33)&gt;0),MAX(0,ROUNDDOWN((C33*N(D33)-G33*N(F33))/30*$F$75*$F$71,2)),0))</f>
        <v/>
      </c>
      <c r="I33" s="51" t="str">
        <f aca="false">IF(C33="","",ROUNDDOWN(C33*N(D33),2))</f>
        <v/>
      </c>
      <c r="J33" s="15"/>
    </row>
    <row r="34" customFormat="false" ht="15" hidden="false" customHeight="false" outlineLevel="0" collapsed="false">
      <c r="A34" s="48" t="str">
        <f aca="false">IF(Dados!$A$14="","",Dados!$A$14)</f>
        <v/>
      </c>
      <c r="B34" s="33" t="str">
        <f aca="false">IF(Dados!$B$14="","",Dados!$B$14)</f>
        <v/>
      </c>
      <c r="C34" s="48" t="str">
        <f aca="false">IF(Dados!$C$14="","",Dados!$C$14)</f>
        <v/>
      </c>
      <c r="D34" s="49" t="str">
        <f aca="false">IF(Dados!$D$14="","",Dados!$D$14)</f>
        <v/>
      </c>
      <c r="E34" s="50" t="str">
        <f aca="false">IF(C34="","",C34*220)</f>
        <v/>
      </c>
      <c r="F34" s="12"/>
      <c r="G34" s="51" t="str">
        <f aca="false">IF(C34="","",IF(C34&gt;0,ROUNDDOWN(N(D34)/220,2),0))</f>
        <v/>
      </c>
      <c r="H34" s="52" t="str">
        <f aca="false">IF(C34="","",IF(AND(C34&gt;0,N(D34)&gt;0),MAX(0,ROUNDDOWN((C34*N(D34)-G34*N(F34))/30*$F$75*$F$71,2)),0))</f>
        <v/>
      </c>
      <c r="I34" s="51" t="str">
        <f aca="false">IF(C34="","",ROUNDDOWN(C34*N(D34),2))</f>
        <v/>
      </c>
      <c r="J34" s="15"/>
    </row>
    <row r="35" customFormat="false" ht="15" hidden="false" customHeight="false" outlineLevel="0" collapsed="false">
      <c r="A35" s="48" t="str">
        <f aca="false">IF(Dados!$A$15="","",Dados!$A$15)</f>
        <v/>
      </c>
      <c r="B35" s="33" t="str">
        <f aca="false">IF(Dados!$B$15="","",Dados!$B$15)</f>
        <v/>
      </c>
      <c r="C35" s="48" t="str">
        <f aca="false">IF(Dados!$C$15="","",Dados!$C$15)</f>
        <v/>
      </c>
      <c r="D35" s="49" t="str">
        <f aca="false">IF(Dados!$D$15="","",Dados!$D$15)</f>
        <v/>
      </c>
      <c r="E35" s="50" t="str">
        <f aca="false">IF(C35="","",C35*220)</f>
        <v/>
      </c>
      <c r="F35" s="12"/>
      <c r="G35" s="51" t="str">
        <f aca="false">IF(C35="","",IF(C35&gt;0,ROUNDDOWN(N(D35)/220,2),0))</f>
        <v/>
      </c>
      <c r="H35" s="52" t="str">
        <f aca="false">IF(C35="","",IF(AND(C35&gt;0,N(D35)&gt;0),MAX(0,ROUNDDOWN((C35*N(D35)-G35*N(F35))/30*$F$75*$F$71,2)),0))</f>
        <v/>
      </c>
      <c r="I35" s="51" t="str">
        <f aca="false">IF(C35="","",ROUNDDOWN(C35*N(D35),2))</f>
        <v/>
      </c>
      <c r="J35" s="15"/>
    </row>
    <row r="36" customFormat="false" ht="15" hidden="false" customHeight="false" outlineLevel="0" collapsed="false">
      <c r="A36" s="48" t="str">
        <f aca="false">IF(Dados!$A$16="","",Dados!$A$16)</f>
        <v/>
      </c>
      <c r="B36" s="33" t="str">
        <f aca="false">IF(Dados!$B$16="","",Dados!$B$16)</f>
        <v/>
      </c>
      <c r="C36" s="48" t="str">
        <f aca="false">IF(Dados!$C$16="","",Dados!$C$16)</f>
        <v/>
      </c>
      <c r="D36" s="49" t="str">
        <f aca="false">IF(Dados!$D$16="","",Dados!$D$16)</f>
        <v/>
      </c>
      <c r="E36" s="50" t="str">
        <f aca="false">IF(C36="","",C36*220)</f>
        <v/>
      </c>
      <c r="F36" s="12"/>
      <c r="G36" s="51" t="str">
        <f aca="false">IF(C36="","",IF(C36&gt;0,ROUNDDOWN(N(D36)/220,2),0))</f>
        <v/>
      </c>
      <c r="H36" s="52" t="str">
        <f aca="false">IF(C36="","",IF(AND(C36&gt;0,N(D36)&gt;0),MAX(0,ROUNDDOWN((C36*N(D36)-G36*N(F36))/30*$F$75*$F$71,2)),0))</f>
        <v/>
      </c>
      <c r="I36" s="51" t="str">
        <f aca="false">IF(C36="","",ROUNDDOWN(C36*N(D36),2))</f>
        <v/>
      </c>
      <c r="J36" s="15"/>
    </row>
    <row r="37" customFormat="false" ht="15" hidden="false" customHeight="false" outlineLevel="0" collapsed="false">
      <c r="A37" s="48" t="str">
        <f aca="false">IF(Dados!$A$17="","",Dados!$A$17)</f>
        <v/>
      </c>
      <c r="B37" s="33" t="str">
        <f aca="false">IF(Dados!$B$17="","",Dados!$B$17)</f>
        <v/>
      </c>
      <c r="C37" s="48" t="str">
        <f aca="false">IF(Dados!$C$17="","",Dados!$C$17)</f>
        <v/>
      </c>
      <c r="D37" s="49" t="str">
        <f aca="false">IF(Dados!$D$17="","",Dados!$D$17)</f>
        <v/>
      </c>
      <c r="E37" s="50" t="str">
        <f aca="false">IF(C37="","",C37*220)</f>
        <v/>
      </c>
      <c r="F37" s="12"/>
      <c r="G37" s="51" t="str">
        <f aca="false">IF(C37="","",IF(C37&gt;0,ROUNDDOWN(N(D37)/220,2),0))</f>
        <v/>
      </c>
      <c r="H37" s="52" t="str">
        <f aca="false">IF(C37="","",IF(AND(C37&gt;0,N(D37)&gt;0),MAX(0,ROUNDDOWN((C37*N(D37)-G37*N(F37))/30*$F$75*$F$71,2)),0))</f>
        <v/>
      </c>
      <c r="I37" s="51" t="str">
        <f aca="false">IF(C37="","",ROUNDDOWN(C37*N(D37),2))</f>
        <v/>
      </c>
      <c r="J37" s="15"/>
    </row>
    <row r="38" customFormat="false" ht="15" hidden="false" customHeight="false" outlineLevel="0" collapsed="false">
      <c r="A38" s="48" t="str">
        <f aca="false">IF(Dados!$A$18="","",Dados!$A$18)</f>
        <v/>
      </c>
      <c r="B38" s="33" t="str">
        <f aca="false">IF(Dados!$B$18="","",Dados!$B$18)</f>
        <v/>
      </c>
      <c r="C38" s="48" t="str">
        <f aca="false">IF(Dados!$C$18="","",Dados!$C$18)</f>
        <v/>
      </c>
      <c r="D38" s="49" t="str">
        <f aca="false">IF(Dados!$D$18="","",Dados!$D$18)</f>
        <v/>
      </c>
      <c r="E38" s="50" t="str">
        <f aca="false">IF(C38="","",C38*220)</f>
        <v/>
      </c>
      <c r="F38" s="12"/>
      <c r="G38" s="51" t="str">
        <f aca="false">IF(C38="","",IF(C38&gt;0,ROUNDDOWN(N(D38)/220,2),0))</f>
        <v/>
      </c>
      <c r="H38" s="52" t="str">
        <f aca="false">IF(C38="","",IF(AND(C38&gt;0,N(D38)&gt;0),MAX(0,ROUNDDOWN((C38*N(D38)-G38*N(F38))/30*$F$75*$F$71,2)),0))</f>
        <v/>
      </c>
      <c r="I38" s="51" t="str">
        <f aca="false">IF(C38="","",ROUNDDOWN(C38*N(D38),2))</f>
        <v/>
      </c>
      <c r="J38" s="15"/>
    </row>
    <row r="39" customFormat="false" ht="15" hidden="false" customHeight="false" outlineLevel="0" collapsed="false">
      <c r="A39" s="48" t="str">
        <f aca="false">IF(Dados!$A$19="","",Dados!$A$19)</f>
        <v/>
      </c>
      <c r="B39" s="33" t="str">
        <f aca="false">IF(Dados!$B$19="","",Dados!$B$19)</f>
        <v/>
      </c>
      <c r="C39" s="48" t="str">
        <f aca="false">IF(Dados!$C$19="","",Dados!$C$19)</f>
        <v/>
      </c>
      <c r="D39" s="49" t="str">
        <f aca="false">IF(Dados!$D$19="","",Dados!$D$19)</f>
        <v/>
      </c>
      <c r="E39" s="50" t="str">
        <f aca="false">IF(C39="","",C39*220)</f>
        <v/>
      </c>
      <c r="F39" s="12"/>
      <c r="G39" s="51" t="str">
        <f aca="false">IF(C39="","",IF(C39&gt;0,ROUNDDOWN(N(D39)/220,2),0))</f>
        <v/>
      </c>
      <c r="H39" s="52" t="str">
        <f aca="false">IF(C39="","",IF(AND(C39&gt;0,N(D39)&gt;0),MAX(0,ROUNDDOWN((C39*N(D39)-G39*N(F39))/30*$F$75*$F$71,2)),0))</f>
        <v/>
      </c>
      <c r="I39" s="51" t="str">
        <f aca="false">IF(C39="","",ROUNDDOWN(C39*N(D39),2))</f>
        <v/>
      </c>
      <c r="J39" s="15"/>
    </row>
    <row r="40" customFormat="false" ht="15" hidden="false" customHeight="false" outlineLevel="0" collapsed="false">
      <c r="A40" s="48" t="str">
        <f aca="false">IF(Dados!$A$20="","",Dados!$A$20)</f>
        <v/>
      </c>
      <c r="B40" s="33" t="str">
        <f aca="false">IF(Dados!$B$20="","",Dados!$B$20)</f>
        <v/>
      </c>
      <c r="C40" s="48" t="str">
        <f aca="false">IF(Dados!$C$20="","",Dados!$C$20)</f>
        <v/>
      </c>
      <c r="D40" s="49" t="str">
        <f aca="false">IF(Dados!$D$20="","",Dados!$D$20)</f>
        <v/>
      </c>
      <c r="E40" s="50" t="str">
        <f aca="false">IF(C40="","",C40*220)</f>
        <v/>
      </c>
      <c r="F40" s="12"/>
      <c r="G40" s="51" t="str">
        <f aca="false">IF(C40="","",IF(C40&gt;0,ROUNDDOWN(N(D40)/220,2),0))</f>
        <v/>
      </c>
      <c r="H40" s="52" t="str">
        <f aca="false">IF(C40="","",IF(AND(C40&gt;0,N(D40)&gt;0),MAX(0,ROUNDDOWN((C40*N(D40)-G40*N(F40))/30*$F$75*$F$71,2)),0))</f>
        <v/>
      </c>
      <c r="I40" s="51" t="str">
        <f aca="false">IF(C40="","",ROUNDDOWN(C40*N(D40),2))</f>
        <v/>
      </c>
      <c r="J40" s="15"/>
    </row>
    <row r="41" customFormat="false" ht="15" hidden="false" customHeight="false" outlineLevel="0" collapsed="false">
      <c r="A41" s="48" t="str">
        <f aca="false">IF(Dados!$A$21="","",Dados!$A$21)</f>
        <v/>
      </c>
      <c r="B41" s="33" t="str">
        <f aca="false">IF(Dados!$B$21="","",Dados!$B$21)</f>
        <v/>
      </c>
      <c r="C41" s="48" t="str">
        <f aca="false">IF(Dados!$C$21="","",Dados!$C$21)</f>
        <v/>
      </c>
      <c r="D41" s="49" t="str">
        <f aca="false">IF(Dados!$D$21="","",Dados!$D$21)</f>
        <v/>
      </c>
      <c r="E41" s="50" t="str">
        <f aca="false">IF(C41="","",C41*220)</f>
        <v/>
      </c>
      <c r="F41" s="12"/>
      <c r="G41" s="51" t="str">
        <f aca="false">IF(C41="","",IF(C41&gt;0,ROUNDDOWN(N(D41)/220,2),0))</f>
        <v/>
      </c>
      <c r="H41" s="52" t="str">
        <f aca="false">IF(C41="","",IF(AND(C41&gt;0,N(D41)&gt;0),MAX(0,ROUNDDOWN((C41*N(D41)-G41*N(F41))/30*$F$75*$F$71,2)),0))</f>
        <v/>
      </c>
      <c r="I41" s="51" t="str">
        <f aca="false">IF(C41="","",ROUNDDOWN(C41*N(D41),2))</f>
        <v/>
      </c>
      <c r="J41" s="15"/>
    </row>
    <row r="42" customFormat="false" ht="15" hidden="false" customHeight="false" outlineLevel="0" collapsed="false">
      <c r="A42" s="48" t="str">
        <f aca="false">IF(Dados!$A$22="","",Dados!$A$22)</f>
        <v/>
      </c>
      <c r="B42" s="33" t="str">
        <f aca="false">IF(Dados!$B$22="","",Dados!$B$22)</f>
        <v/>
      </c>
      <c r="C42" s="48" t="str">
        <f aca="false">IF(Dados!$C$22="","",Dados!$C$22)</f>
        <v/>
      </c>
      <c r="D42" s="49" t="str">
        <f aca="false">IF(Dados!$D$22="","",Dados!$D$22)</f>
        <v/>
      </c>
      <c r="E42" s="50" t="str">
        <f aca="false">IF(C42="","",C42*220)</f>
        <v/>
      </c>
      <c r="F42" s="12"/>
      <c r="G42" s="51" t="str">
        <f aca="false">IF(C42="","",IF(C42&gt;0,ROUNDDOWN(N(D42)/220,2),0))</f>
        <v/>
      </c>
      <c r="H42" s="52" t="str">
        <f aca="false">IF(C42="","",IF(AND(C42&gt;0,N(D42)&gt;0),MAX(0,ROUNDDOWN((C42*N(D42)-G42*N(F42))/30*$F$75*$F$71,2)),0))</f>
        <v/>
      </c>
      <c r="I42" s="51" t="str">
        <f aca="false">IF(C42="","",ROUNDDOWN(C42*N(D42),2))</f>
        <v/>
      </c>
      <c r="J42" s="15"/>
    </row>
    <row r="43" customFormat="false" ht="15" hidden="false" customHeight="false" outlineLevel="0" collapsed="false">
      <c r="A43" s="48" t="str">
        <f aca="false">IF(Dados!$A$23="","",Dados!$A$23)</f>
        <v/>
      </c>
      <c r="B43" s="33" t="str">
        <f aca="false">IF(Dados!$B$23="","",Dados!$B$23)</f>
        <v/>
      </c>
      <c r="C43" s="48" t="str">
        <f aca="false">IF(Dados!$C$23="","",Dados!$C$23)</f>
        <v/>
      </c>
      <c r="D43" s="49" t="str">
        <f aca="false">IF(Dados!$D$23="","",Dados!$D$23)</f>
        <v/>
      </c>
      <c r="E43" s="50" t="str">
        <f aca="false">IF(C43="","",C43*220)</f>
        <v/>
      </c>
      <c r="F43" s="12"/>
      <c r="G43" s="51" t="str">
        <f aca="false">IF(C43="","",IF(C43&gt;0,ROUNDDOWN(N(D43)/220,2),0))</f>
        <v/>
      </c>
      <c r="H43" s="52" t="str">
        <f aca="false">IF(C43="","",IF(AND(C43&gt;0,N(D43)&gt;0),MAX(0,ROUNDDOWN((C43*N(D43)-G43*N(F43))/30*$F$75*$F$71,2)),0))</f>
        <v/>
      </c>
      <c r="I43" s="51" t="str">
        <f aca="false">IF(C43="","",ROUNDDOWN(C43*N(D43),2))</f>
        <v/>
      </c>
      <c r="J43" s="15"/>
    </row>
    <row r="44" customFormat="false" ht="15" hidden="false" customHeight="false" outlineLevel="0" collapsed="false">
      <c r="A44" s="48" t="str">
        <f aca="false">IF(Dados!$A$24="","",Dados!$A$24)</f>
        <v/>
      </c>
      <c r="B44" s="33" t="str">
        <f aca="false">IF(Dados!$B$24="","",Dados!$B$24)</f>
        <v/>
      </c>
      <c r="C44" s="48" t="str">
        <f aca="false">IF(Dados!$C$24="","",Dados!$C$24)</f>
        <v/>
      </c>
      <c r="D44" s="49" t="str">
        <f aca="false">IF(Dados!$D$24="","",Dados!$D$24)</f>
        <v/>
      </c>
      <c r="E44" s="50" t="str">
        <f aca="false">IF(C44="","",C44*220)</f>
        <v/>
      </c>
      <c r="F44" s="12"/>
      <c r="G44" s="51" t="str">
        <f aca="false">IF(C44="","",IF(C44&gt;0,ROUNDDOWN(N(D44)/220,2),0))</f>
        <v/>
      </c>
      <c r="H44" s="52" t="str">
        <f aca="false">IF(C44="","",IF(AND(C44&gt;0,N(D44)&gt;0),MAX(0,ROUNDDOWN((C44*N(D44)-G44*N(F44))/30*$F$75*$F$71,2)),0))</f>
        <v/>
      </c>
      <c r="I44" s="51" t="str">
        <f aca="false">IF(C44="","",ROUNDDOWN(C44*N(D44),2))</f>
        <v/>
      </c>
      <c r="J44" s="15"/>
    </row>
    <row r="45" customFormat="false" ht="15" hidden="false" customHeight="false" outlineLevel="0" collapsed="false">
      <c r="A45" s="48" t="str">
        <f aca="false">IF(Dados!$A$25="","",Dados!$A$25)</f>
        <v/>
      </c>
      <c r="B45" s="33" t="str">
        <f aca="false">IF(Dados!$B$25="","",Dados!$B$25)</f>
        <v/>
      </c>
      <c r="C45" s="48" t="str">
        <f aca="false">IF(Dados!$C$25="","",Dados!$C$25)</f>
        <v/>
      </c>
      <c r="D45" s="49" t="str">
        <f aca="false">IF(Dados!$D$25="","",Dados!$D$25)</f>
        <v/>
      </c>
      <c r="E45" s="50" t="str">
        <f aca="false">IF(C45="","",C45*220)</f>
        <v/>
      </c>
      <c r="F45" s="12"/>
      <c r="G45" s="51" t="str">
        <f aca="false">IF(C45="","",IF(C45&gt;0,ROUNDDOWN(N(D45)/220,2),0))</f>
        <v/>
      </c>
      <c r="H45" s="52" t="str">
        <f aca="false">IF(C45="","",IF(AND(C45&gt;0,N(D45)&gt;0),MAX(0,ROUNDDOWN((C45*N(D45)-G45*N(F45))/30*$F$75*$F$71,2)),0))</f>
        <v/>
      </c>
      <c r="I45" s="51" t="str">
        <f aca="false">IF(C45="","",ROUNDDOWN(C45*N(D45),2))</f>
        <v/>
      </c>
      <c r="J45" s="15"/>
    </row>
    <row r="46" customFormat="false" ht="15" hidden="false" customHeight="false" outlineLevel="0" collapsed="false">
      <c r="A46" s="48" t="str">
        <f aca="false">IF(Dados!$A$26="","",Dados!$A$26)</f>
        <v/>
      </c>
      <c r="B46" s="33" t="str">
        <f aca="false">IF(Dados!$B$26="","",Dados!$B$26)</f>
        <v/>
      </c>
      <c r="C46" s="48" t="str">
        <f aca="false">IF(Dados!$C$26="","",Dados!$C$26)</f>
        <v/>
      </c>
      <c r="D46" s="49" t="str">
        <f aca="false">IF(Dados!$D$26="","",Dados!$D$26)</f>
        <v/>
      </c>
      <c r="E46" s="50" t="str">
        <f aca="false">IF(C46="","",C46*220)</f>
        <v/>
      </c>
      <c r="F46" s="12"/>
      <c r="G46" s="51" t="str">
        <f aca="false">IF(C46="","",IF(C46&gt;0,ROUNDDOWN(N(D46)/220,2),0))</f>
        <v/>
      </c>
      <c r="H46" s="52" t="str">
        <f aca="false">IF(C46="","",IF(AND(C46&gt;0,N(D46)&gt;0),MAX(0,ROUNDDOWN((C46*N(D46)-G46*N(F46))/30*$F$75*$F$71,2)),0))</f>
        <v/>
      </c>
      <c r="I46" s="51" t="str">
        <f aca="false">IF(C46="","",ROUNDDOWN(C46*N(D46),2))</f>
        <v/>
      </c>
      <c r="J46" s="15"/>
    </row>
    <row r="47" customFormat="false" ht="15" hidden="false" customHeight="false" outlineLevel="0" collapsed="false">
      <c r="A47" s="8" t="s">
        <v>243</v>
      </c>
      <c r="B47" s="17"/>
      <c r="C47" s="17"/>
      <c r="D47" s="17"/>
      <c r="E47" s="17"/>
      <c r="F47" s="53" t="n">
        <f aca="false">SUM(F32:F46)</f>
        <v>0</v>
      </c>
      <c r="G47" s="17"/>
      <c r="H47" s="54" t="n">
        <f aca="false">SUM(H32:H46)</f>
        <v>11993.78</v>
      </c>
      <c r="I47" s="54" t="n">
        <f aca="false">SUM(I32:I46)</f>
        <v>11993.78</v>
      </c>
      <c r="J47" s="17"/>
    </row>
    <row r="49" customFormat="false" ht="16.5" hidden="false" customHeight="true" outlineLevel="0" collapsed="false">
      <c r="A49" s="55" t="s">
        <v>244</v>
      </c>
      <c r="B49" s="55"/>
      <c r="C49" s="55"/>
      <c r="D49" s="55"/>
      <c r="E49" s="55"/>
      <c r="F49" s="55"/>
      <c r="G49" s="55"/>
      <c r="H49" s="55"/>
      <c r="I49" s="55"/>
      <c r="J49" s="55"/>
    </row>
    <row r="50" customFormat="false" ht="15" hidden="false" customHeight="false" outlineLevel="0" collapsed="false">
      <c r="A50" s="56" t="s">
        <v>85</v>
      </c>
      <c r="B50" s="56" t="s">
        <v>245</v>
      </c>
      <c r="C50" s="56"/>
      <c r="D50" s="56"/>
      <c r="E50" s="56"/>
      <c r="F50" s="56" t="s">
        <v>246</v>
      </c>
      <c r="G50" s="56"/>
      <c r="H50" s="56" t="s">
        <v>247</v>
      </c>
      <c r="I50" s="56"/>
      <c r="J50" s="56"/>
    </row>
    <row r="51" customFormat="false" ht="15" hidden="false" customHeight="false" outlineLevel="0" collapsed="false">
      <c r="A51" s="57" t="n">
        <f aca="false">IF(A32="","",A32)</f>
        <v>1</v>
      </c>
      <c r="B51" s="58" t="str">
        <f aca="false">IF(B32="","",B32)</f>
        <v>Vigilante Diurno 12x36 (exemplo)</v>
      </c>
      <c r="C51" s="58"/>
      <c r="D51" s="58"/>
      <c r="E51" s="58"/>
      <c r="F51" s="59" t="n">
        <f aca="false">IF(C32="","",C32)</f>
        <v>2</v>
      </c>
      <c r="G51" s="59"/>
      <c r="H51" s="60" t="n">
        <f aca="false">IF(C32="","",IF(C32&gt;0,ROUNDDOWN(H32/C32,2),0))</f>
        <v>5996.89</v>
      </c>
      <c r="I51" s="60"/>
      <c r="J51" s="60"/>
    </row>
    <row r="52" customFormat="false" ht="15" hidden="false" customHeight="false" outlineLevel="0" collapsed="false">
      <c r="A52" s="57" t="str">
        <f aca="false">IF(A33="","",A33)</f>
        <v/>
      </c>
      <c r="B52" s="58" t="str">
        <f aca="false">IF(B33="","",B33)</f>
        <v/>
      </c>
      <c r="C52" s="58"/>
      <c r="D52" s="58"/>
      <c r="E52" s="58"/>
      <c r="F52" s="59" t="str">
        <f aca="false">IF(C33="","",C33)</f>
        <v/>
      </c>
      <c r="G52" s="59"/>
      <c r="H52" s="60" t="str">
        <f aca="false">IF(C33="","",IF(C33&gt;0,ROUNDDOWN(H33/C33,2),0))</f>
        <v/>
      </c>
      <c r="I52" s="60"/>
      <c r="J52" s="60"/>
    </row>
    <row r="53" customFormat="false" ht="15" hidden="false" customHeight="false" outlineLevel="0" collapsed="false">
      <c r="A53" s="57" t="str">
        <f aca="false">IF(A34="","",A34)</f>
        <v/>
      </c>
      <c r="B53" s="58" t="str">
        <f aca="false">IF(B34="","",B34)</f>
        <v/>
      </c>
      <c r="C53" s="58"/>
      <c r="D53" s="58"/>
      <c r="E53" s="58"/>
      <c r="F53" s="59" t="str">
        <f aca="false">IF(C34="","",C34)</f>
        <v/>
      </c>
      <c r="G53" s="59"/>
      <c r="H53" s="60" t="str">
        <f aca="false">IF(C34="","",IF(C34&gt;0,ROUNDDOWN(H34/C34,2),0))</f>
        <v/>
      </c>
      <c r="I53" s="60"/>
      <c r="J53" s="60"/>
    </row>
    <row r="54" customFormat="false" ht="15" hidden="false" customHeight="false" outlineLevel="0" collapsed="false">
      <c r="A54" s="57" t="str">
        <f aca="false">IF(A35="","",A35)</f>
        <v/>
      </c>
      <c r="B54" s="58" t="str">
        <f aca="false">IF(B35="","",B35)</f>
        <v/>
      </c>
      <c r="C54" s="58"/>
      <c r="D54" s="58"/>
      <c r="E54" s="58"/>
      <c r="F54" s="59" t="str">
        <f aca="false">IF(C35="","",C35)</f>
        <v/>
      </c>
      <c r="G54" s="59"/>
      <c r="H54" s="60" t="str">
        <f aca="false">IF(C35="","",IF(C35&gt;0,ROUNDDOWN(H35/C35,2),0))</f>
        <v/>
      </c>
      <c r="I54" s="60"/>
      <c r="J54" s="60"/>
    </row>
    <row r="55" customFormat="false" ht="15" hidden="false" customHeight="false" outlineLevel="0" collapsed="false">
      <c r="A55" s="57" t="str">
        <f aca="false">IF(A36="","",A36)</f>
        <v/>
      </c>
      <c r="B55" s="58" t="str">
        <f aca="false">IF(B36="","",B36)</f>
        <v/>
      </c>
      <c r="C55" s="58"/>
      <c r="D55" s="58"/>
      <c r="E55" s="58"/>
      <c r="F55" s="59" t="str">
        <f aca="false">IF(C36="","",C36)</f>
        <v/>
      </c>
      <c r="G55" s="59"/>
      <c r="H55" s="60" t="str">
        <f aca="false">IF(C36="","",IF(C36&gt;0,ROUNDDOWN(H36/C36,2),0))</f>
        <v/>
      </c>
      <c r="I55" s="60"/>
      <c r="J55" s="60"/>
    </row>
    <row r="56" customFormat="false" ht="15" hidden="false" customHeight="false" outlineLevel="0" collapsed="false">
      <c r="A56" s="57" t="str">
        <f aca="false">IF(A37="","",A37)</f>
        <v/>
      </c>
      <c r="B56" s="58" t="str">
        <f aca="false">IF(B37="","",B37)</f>
        <v/>
      </c>
      <c r="C56" s="58"/>
      <c r="D56" s="58"/>
      <c r="E56" s="58"/>
      <c r="F56" s="59" t="str">
        <f aca="false">IF(C37="","",C37)</f>
        <v/>
      </c>
      <c r="G56" s="59"/>
      <c r="H56" s="60" t="str">
        <f aca="false">IF(C37="","",IF(C37&gt;0,ROUNDDOWN(H37/C37,2),0))</f>
        <v/>
      </c>
      <c r="I56" s="60"/>
      <c r="J56" s="60"/>
    </row>
    <row r="57" customFormat="false" ht="15" hidden="false" customHeight="false" outlineLevel="0" collapsed="false">
      <c r="A57" s="57" t="str">
        <f aca="false">IF(A38="","",A38)</f>
        <v/>
      </c>
      <c r="B57" s="58" t="str">
        <f aca="false">IF(B38="","",B38)</f>
        <v/>
      </c>
      <c r="C57" s="58"/>
      <c r="D57" s="58"/>
      <c r="E57" s="58"/>
      <c r="F57" s="59" t="str">
        <f aca="false">IF(C38="","",C38)</f>
        <v/>
      </c>
      <c r="G57" s="59"/>
      <c r="H57" s="60" t="str">
        <f aca="false">IF(C38="","",IF(C38&gt;0,ROUNDDOWN(H38/C38,2),0))</f>
        <v/>
      </c>
      <c r="I57" s="60"/>
      <c r="J57" s="60"/>
    </row>
    <row r="58" customFormat="false" ht="15" hidden="false" customHeight="false" outlineLevel="0" collapsed="false">
      <c r="A58" s="57" t="str">
        <f aca="false">IF(A39="","",A39)</f>
        <v/>
      </c>
      <c r="B58" s="58" t="str">
        <f aca="false">IF(B39="","",B39)</f>
        <v/>
      </c>
      <c r="C58" s="58"/>
      <c r="D58" s="58"/>
      <c r="E58" s="58"/>
      <c r="F58" s="59" t="str">
        <f aca="false">IF(C39="","",C39)</f>
        <v/>
      </c>
      <c r="G58" s="59"/>
      <c r="H58" s="60" t="str">
        <f aca="false">IF(C39="","",IF(C39&gt;0,ROUNDDOWN(H39/C39,2),0))</f>
        <v/>
      </c>
      <c r="I58" s="60"/>
      <c r="J58" s="60"/>
    </row>
    <row r="59" customFormat="false" ht="15" hidden="false" customHeight="false" outlineLevel="0" collapsed="false">
      <c r="A59" s="57" t="str">
        <f aca="false">IF(A40="","",A40)</f>
        <v/>
      </c>
      <c r="B59" s="58" t="str">
        <f aca="false">IF(B40="","",B40)</f>
        <v/>
      </c>
      <c r="C59" s="58"/>
      <c r="D59" s="58"/>
      <c r="E59" s="58"/>
      <c r="F59" s="59" t="str">
        <f aca="false">IF(C40="","",C40)</f>
        <v/>
      </c>
      <c r="G59" s="59"/>
      <c r="H59" s="60" t="str">
        <f aca="false">IF(C40="","",IF(C40&gt;0,ROUNDDOWN(H40/C40,2),0))</f>
        <v/>
      </c>
      <c r="I59" s="60"/>
      <c r="J59" s="60"/>
    </row>
    <row r="60" customFormat="false" ht="15" hidden="false" customHeight="false" outlineLevel="0" collapsed="false">
      <c r="A60" s="57" t="str">
        <f aca="false">IF(A41="","",A41)</f>
        <v/>
      </c>
      <c r="B60" s="58" t="str">
        <f aca="false">IF(B41="","",B41)</f>
        <v/>
      </c>
      <c r="C60" s="58"/>
      <c r="D60" s="58"/>
      <c r="E60" s="58"/>
      <c r="F60" s="59" t="str">
        <f aca="false">IF(C41="","",C41)</f>
        <v/>
      </c>
      <c r="G60" s="59"/>
      <c r="H60" s="60" t="str">
        <f aca="false">IF(C41="","",IF(C41&gt;0,ROUNDDOWN(H41/C41,2),0))</f>
        <v/>
      </c>
      <c r="I60" s="60"/>
      <c r="J60" s="60"/>
    </row>
    <row r="61" customFormat="false" ht="15" hidden="false" customHeight="false" outlineLevel="0" collapsed="false">
      <c r="A61" s="57" t="str">
        <f aca="false">IF(A42="","",A42)</f>
        <v/>
      </c>
      <c r="B61" s="58" t="str">
        <f aca="false">IF(B42="","",B42)</f>
        <v/>
      </c>
      <c r="C61" s="58"/>
      <c r="D61" s="58"/>
      <c r="E61" s="58"/>
      <c r="F61" s="59" t="str">
        <f aca="false">IF(C42="","",C42)</f>
        <v/>
      </c>
      <c r="G61" s="59"/>
      <c r="H61" s="60" t="str">
        <f aca="false">IF(C42="","",IF(C42&gt;0,ROUNDDOWN(H42/C42,2),0))</f>
        <v/>
      </c>
      <c r="I61" s="60"/>
      <c r="J61" s="60"/>
    </row>
    <row r="62" customFormat="false" ht="15" hidden="false" customHeight="false" outlineLevel="0" collapsed="false">
      <c r="A62" s="57" t="str">
        <f aca="false">IF(A43="","",A43)</f>
        <v/>
      </c>
      <c r="B62" s="58" t="str">
        <f aca="false">IF(B43="","",B43)</f>
        <v/>
      </c>
      <c r="C62" s="58"/>
      <c r="D62" s="58"/>
      <c r="E62" s="58"/>
      <c r="F62" s="59" t="str">
        <f aca="false">IF(C43="","",C43)</f>
        <v/>
      </c>
      <c r="G62" s="59"/>
      <c r="H62" s="60" t="str">
        <f aca="false">IF(C43="","",IF(C43&gt;0,ROUNDDOWN(H43/C43,2),0))</f>
        <v/>
      </c>
      <c r="I62" s="60"/>
      <c r="J62" s="60"/>
    </row>
    <row r="63" customFormat="false" ht="15" hidden="false" customHeight="false" outlineLevel="0" collapsed="false">
      <c r="A63" s="57" t="str">
        <f aca="false">IF(A44="","",A44)</f>
        <v/>
      </c>
      <c r="B63" s="58" t="str">
        <f aca="false">IF(B44="","",B44)</f>
        <v/>
      </c>
      <c r="C63" s="58"/>
      <c r="D63" s="58"/>
      <c r="E63" s="58"/>
      <c r="F63" s="59" t="str">
        <f aca="false">IF(C44="","",C44)</f>
        <v/>
      </c>
      <c r="G63" s="59"/>
      <c r="H63" s="60" t="str">
        <f aca="false">IF(C44="","",IF(C44&gt;0,ROUNDDOWN(H44/C44,2),0))</f>
        <v/>
      </c>
      <c r="I63" s="60"/>
      <c r="J63" s="60"/>
    </row>
    <row r="64" customFormat="false" ht="15" hidden="false" customHeight="false" outlineLevel="0" collapsed="false">
      <c r="A64" s="57" t="str">
        <f aca="false">IF(A45="","",A45)</f>
        <v/>
      </c>
      <c r="B64" s="58" t="str">
        <f aca="false">IF(B45="","",B45)</f>
        <v/>
      </c>
      <c r="C64" s="58"/>
      <c r="D64" s="58"/>
      <c r="E64" s="58"/>
      <c r="F64" s="59" t="str">
        <f aca="false">IF(C45="","",C45)</f>
        <v/>
      </c>
      <c r="G64" s="59"/>
      <c r="H64" s="60" t="str">
        <f aca="false">IF(C45="","",IF(C45&gt;0,ROUNDDOWN(H45/C45,2),0))</f>
        <v/>
      </c>
      <c r="I64" s="60"/>
      <c r="J64" s="60"/>
    </row>
    <row r="65" customFormat="false" ht="15" hidden="false" customHeight="false" outlineLevel="0" collapsed="false">
      <c r="A65" s="57" t="str">
        <f aca="false">IF(A46="","",A46)</f>
        <v/>
      </c>
      <c r="B65" s="58" t="str">
        <f aca="false">IF(B46="","",B46)</f>
        <v/>
      </c>
      <c r="C65" s="58"/>
      <c r="D65" s="58"/>
      <c r="E65" s="58"/>
      <c r="F65" s="59" t="str">
        <f aca="false">IF(C46="","",C46)</f>
        <v/>
      </c>
      <c r="G65" s="59"/>
      <c r="H65" s="60" t="str">
        <f aca="false">IF(C46="","",IF(C46&gt;0,ROUNDDOWN(H46/C46,2),0))</f>
        <v/>
      </c>
      <c r="I65" s="60"/>
      <c r="J65" s="60"/>
    </row>
    <row r="67" customFormat="false" ht="16.5" hidden="false" customHeight="true" outlineLevel="0" collapsed="false">
      <c r="A67" s="7" t="s">
        <v>248</v>
      </c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61" t="s">
        <v>249</v>
      </c>
      <c r="B68" s="61"/>
      <c r="C68" s="61"/>
      <c r="D68" s="61"/>
      <c r="E68" s="61"/>
      <c r="F68" s="52" t="n">
        <f aca="false">I47</f>
        <v>11993.78</v>
      </c>
      <c r="G68" s="52"/>
      <c r="H68" s="6"/>
      <c r="I68" s="6"/>
      <c r="J68" s="6"/>
    </row>
    <row r="69" customFormat="false" ht="15" hidden="false" customHeight="true" outlineLevel="0" collapsed="false">
      <c r="A69" s="61" t="s">
        <v>250</v>
      </c>
      <c r="B69" s="61"/>
      <c r="C69" s="61"/>
      <c r="D69" s="61"/>
      <c r="E69" s="61"/>
      <c r="F69" s="38" t="n">
        <f aca="false">D28</f>
        <v>9</v>
      </c>
      <c r="G69" s="38"/>
      <c r="H69" s="6"/>
      <c r="I69" s="6"/>
      <c r="J69" s="6"/>
    </row>
    <row r="70" customFormat="false" ht="15" hidden="false" customHeight="true" outlineLevel="0" collapsed="false">
      <c r="A70" s="61" t="s">
        <v>251</v>
      </c>
      <c r="B70" s="61"/>
      <c r="C70" s="61"/>
      <c r="D70" s="61"/>
      <c r="E70" s="61"/>
      <c r="F70" s="62" t="str">
        <f aca="false">F28</f>
        <v>A</v>
      </c>
      <c r="G70" s="62"/>
      <c r="H70" s="6"/>
      <c r="I70" s="6"/>
      <c r="J70" s="6"/>
    </row>
    <row r="71" customFormat="false" ht="15" hidden="false" customHeight="true" outlineLevel="0" collapsed="false">
      <c r="A71" s="61" t="s">
        <v>252</v>
      </c>
      <c r="B71" s="61"/>
      <c r="C71" s="61"/>
      <c r="D71" s="61"/>
      <c r="E71" s="61"/>
      <c r="F71" s="63" t="n">
        <f aca="false">INDEX(Dados!$C$50:$C$55,MATCH(D28,Dados!$A$50:$A$55,1))</f>
        <v>1</v>
      </c>
      <c r="G71" s="63"/>
      <c r="H71" s="6"/>
      <c r="I71" s="6"/>
      <c r="J71" s="6"/>
    </row>
    <row r="72" customFormat="false" ht="15" hidden="false" customHeight="true" outlineLevel="0" collapsed="false">
      <c r="A72" s="61" t="s">
        <v>253</v>
      </c>
      <c r="B72" s="61"/>
      <c r="C72" s="61"/>
      <c r="D72" s="61"/>
      <c r="E72" s="61"/>
      <c r="F72" s="64" t="n">
        <f aca="false">ROUNDDOWN(I47-I47*$F$71,2)</f>
        <v>0</v>
      </c>
      <c r="G72" s="64"/>
      <c r="H72" s="6"/>
      <c r="I72" s="6"/>
      <c r="J72" s="6"/>
    </row>
    <row r="73" customFormat="false" ht="15" hidden="false" customHeight="true" outlineLevel="0" collapsed="false">
      <c r="A73" s="61" t="s">
        <v>254</v>
      </c>
      <c r="B73" s="61"/>
      <c r="C73" s="61"/>
      <c r="D73" s="61"/>
      <c r="E73" s="61"/>
      <c r="F73" s="65" t="n">
        <f aca="false">IF(ISNUMBER(B7),DAY(EOMONTH(B7,0)),30)</f>
        <v>30</v>
      </c>
      <c r="G73" s="65"/>
      <c r="H73" s="6"/>
      <c r="I73" s="6"/>
      <c r="J73" s="6"/>
    </row>
    <row r="74" customFormat="false" ht="19.4" hidden="false" customHeight="true" outlineLevel="0" collapsed="false">
      <c r="A74" s="61" t="s">
        <v>255</v>
      </c>
      <c r="B74" s="61"/>
      <c r="C74" s="61"/>
      <c r="D74" s="61"/>
      <c r="E74" s="61"/>
      <c r="F74" s="66" t="n">
        <f aca="false">IF(ISNUMBER(B7),DAY(EOMONTH(B7,0)),30)</f>
        <v>30</v>
      </c>
      <c r="G74" s="66"/>
      <c r="H74" s="6" t="s">
        <v>256</v>
      </c>
      <c r="I74" s="6"/>
      <c r="J74" s="6"/>
    </row>
    <row r="75" customFormat="false" ht="15" hidden="false" customHeight="true" outlineLevel="0" collapsed="false">
      <c r="A75" s="61" t="s">
        <v>257</v>
      </c>
      <c r="B75" s="61"/>
      <c r="C75" s="61"/>
      <c r="D75" s="61"/>
      <c r="E75" s="61"/>
      <c r="F75" s="38" t="n">
        <f aca="false">IF(N(F74)&gt;=$F$73,30,MAX(0,N(F74)))</f>
        <v>30</v>
      </c>
      <c r="G75" s="38"/>
      <c r="H75" s="6"/>
      <c r="I75" s="6"/>
      <c r="J75" s="6"/>
    </row>
    <row r="76" customFormat="false" ht="15" hidden="false" customHeight="true" outlineLevel="0" collapsed="false">
      <c r="A76" s="61" t="s">
        <v>258</v>
      </c>
      <c r="B76" s="61"/>
      <c r="C76" s="61"/>
      <c r="D76" s="61"/>
      <c r="E76" s="61"/>
      <c r="F76" s="52" t="n">
        <f aca="false">H47</f>
        <v>11993.78</v>
      </c>
      <c r="G76" s="52"/>
      <c r="H76" s="6"/>
      <c r="I76" s="6"/>
      <c r="J76" s="6"/>
    </row>
    <row r="77" customFormat="false" ht="25.5" hidden="false" customHeight="true" outlineLevel="0" collapsed="false">
      <c r="A77" s="67" t="s">
        <v>259</v>
      </c>
      <c r="B77" s="67"/>
      <c r="C77" s="67"/>
      <c r="D77" s="67"/>
      <c r="E77" s="67"/>
      <c r="F77" s="68" t="n">
        <f aca="false">MAX(0,ROUNDDOWN(H47+F83,2))</f>
        <v>11993.78</v>
      </c>
      <c r="G77" s="68"/>
      <c r="H77" s="15"/>
      <c r="I77" s="15"/>
      <c r="J77" s="15"/>
    </row>
    <row r="79" customFormat="false" ht="16.5" hidden="false" customHeight="true" outlineLevel="0" collapsed="false">
      <c r="A79" s="69" t="s">
        <v>260</v>
      </c>
      <c r="B79" s="69"/>
      <c r="C79" s="69"/>
      <c r="D79" s="69"/>
      <c r="E79" s="69"/>
      <c r="F79" s="69"/>
      <c r="G79" s="69"/>
      <c r="H79" s="69"/>
      <c r="I79" s="69"/>
      <c r="J79" s="69"/>
    </row>
    <row r="80" customFormat="false" ht="15" hidden="false" customHeight="true" outlineLevel="0" collapsed="false">
      <c r="A80" s="61" t="s">
        <v>261</v>
      </c>
      <c r="B80" s="61"/>
      <c r="C80" s="61"/>
      <c r="D80" s="61"/>
      <c r="E80" s="61"/>
      <c r="F80" s="70" t="n">
        <f aca="false">Dados!$D30</f>
        <v>0</v>
      </c>
      <c r="G80" s="70"/>
      <c r="H80" s="6" t="s">
        <v>262</v>
      </c>
      <c r="I80" s="6"/>
      <c r="J80" s="6"/>
    </row>
    <row r="81" customFormat="false" ht="15" hidden="false" customHeight="true" outlineLevel="0" collapsed="false">
      <c r="A81" s="61" t="s">
        <v>263</v>
      </c>
      <c r="B81" s="61"/>
      <c r="C81" s="61"/>
      <c r="D81" s="61"/>
      <c r="E81" s="61"/>
      <c r="F81" s="66"/>
      <c r="G81" s="66"/>
      <c r="H81" s="6" t="s">
        <v>262</v>
      </c>
      <c r="I81" s="6"/>
      <c r="J81" s="6"/>
    </row>
    <row r="82" customFormat="false" ht="15" hidden="false" customHeight="true" outlineLevel="0" collapsed="false">
      <c r="A82" s="61" t="s">
        <v>95</v>
      </c>
      <c r="B82" s="61"/>
      <c r="C82" s="61"/>
      <c r="D82" s="61"/>
      <c r="E82" s="61"/>
      <c r="F82" s="70" t="n">
        <f aca="false">Dados!$D31</f>
        <v>0</v>
      </c>
      <c r="G82" s="70"/>
      <c r="H82" s="6" t="s">
        <v>262</v>
      </c>
      <c r="I82" s="6"/>
      <c r="J82" s="6"/>
    </row>
    <row r="83" customFormat="false" ht="15" hidden="false" customHeight="true" outlineLevel="0" collapsed="false">
      <c r="A83" s="61" t="s">
        <v>264</v>
      </c>
      <c r="B83" s="61"/>
      <c r="C83" s="61"/>
      <c r="D83" s="61"/>
      <c r="E83" s="61"/>
      <c r="F83" s="52" t="n">
        <f aca="false">ROUNDDOWN(N(F81)*N(F82),2)</f>
        <v>0</v>
      </c>
      <c r="G83" s="52"/>
      <c r="H83" s="6"/>
      <c r="I83" s="6"/>
      <c r="J83" s="6"/>
    </row>
    <row r="84" customFormat="false" ht="15" hidden="false" customHeight="true" outlineLevel="0" collapsed="false">
      <c r="A84" s="61" t="s">
        <v>265</v>
      </c>
      <c r="B84" s="61"/>
      <c r="C84" s="61"/>
      <c r="D84" s="61"/>
      <c r="E84" s="61"/>
      <c r="F84" s="52" t="n">
        <f aca="false">ROUNDDOWN(P59!F84+N(F80)-N(F83),2)</f>
        <v>0</v>
      </c>
      <c r="G84" s="52"/>
      <c r="H84" s="6"/>
      <c r="I84" s="6"/>
      <c r="J84" s="6"/>
    </row>
    <row r="85" customFormat="false" ht="15" hidden="false" customHeight="false" outlineLevel="0" collapsed="false">
      <c r="A85" s="71" t="str">
        <f aca="false">IF(F84&lt;0,"⚠ ATENÇÃO: Saldo negativo — será necessário ADITIVAR O CONTRATO PARA SUPORTAR A DESPESA!","")</f>
        <v/>
      </c>
      <c r="B85" s="71"/>
      <c r="C85" s="71"/>
      <c r="D85" s="71"/>
      <c r="E85" s="71"/>
      <c r="F85" s="71"/>
      <c r="G85" s="71"/>
      <c r="H85" s="71"/>
      <c r="I85" s="71"/>
      <c r="J85" s="71"/>
    </row>
    <row r="87" customFormat="false" ht="16.5" hidden="false" customHeight="true" outlineLevel="0" collapsed="false">
      <c r="A87" s="7" t="s">
        <v>123</v>
      </c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18" t="s">
        <v>125</v>
      </c>
      <c r="B88" s="18"/>
      <c r="C88" s="18"/>
      <c r="D88" s="18" t="s">
        <v>126</v>
      </c>
      <c r="E88" s="18"/>
      <c r="F88" s="18"/>
      <c r="G88" s="18" t="s">
        <v>127</v>
      </c>
      <c r="H88" s="18"/>
      <c r="I88" s="18"/>
      <c r="J88" s="18"/>
    </row>
    <row r="89" customFormat="false" ht="15" hidden="false" customHeight="false" outlineLevel="0" collapsed="false">
      <c r="A89" s="23" t="str">
        <f aca="false">Dados!$B$55</f>
        <v>A</v>
      </c>
      <c r="B89" s="23"/>
      <c r="C89" s="23"/>
      <c r="D89" s="27" t="n">
        <f aca="false">Dados!$C$55</f>
        <v>1</v>
      </c>
      <c r="E89" s="27"/>
      <c r="F89" s="27"/>
      <c r="G89" s="19" t="str">
        <f aca="false">Dados!$D$55</f>
        <v>Entre 9,00 e 8,10</v>
      </c>
      <c r="H89" s="19"/>
      <c r="I89" s="19"/>
      <c r="J89" s="19"/>
    </row>
    <row r="90" customFormat="false" ht="15" hidden="false" customHeight="false" outlineLevel="0" collapsed="false">
      <c r="A90" s="23" t="str">
        <f aca="false">Dados!$B$54</f>
        <v>B</v>
      </c>
      <c r="B90" s="23"/>
      <c r="C90" s="23"/>
      <c r="D90" s="27" t="n">
        <f aca="false">Dados!$C$54</f>
        <v>0.95</v>
      </c>
      <c r="E90" s="27"/>
      <c r="F90" s="27"/>
      <c r="G90" s="19" t="str">
        <f aca="false">Dados!$D$54</f>
        <v>Entre 8,09 e 7,65</v>
      </c>
      <c r="H90" s="19"/>
      <c r="I90" s="19"/>
      <c r="J90" s="19"/>
    </row>
    <row r="91" customFormat="false" ht="15" hidden="false" customHeight="false" outlineLevel="0" collapsed="false">
      <c r="A91" s="23" t="str">
        <f aca="false">Dados!$B$53</f>
        <v>C</v>
      </c>
      <c r="B91" s="23"/>
      <c r="C91" s="23"/>
      <c r="D91" s="27" t="n">
        <f aca="false">Dados!$C$53</f>
        <v>0.9</v>
      </c>
      <c r="E91" s="27"/>
      <c r="F91" s="27"/>
      <c r="G91" s="19" t="str">
        <f aca="false">Dados!$D$53</f>
        <v>Entre 7,64 e 6,75</v>
      </c>
      <c r="H91" s="19"/>
      <c r="I91" s="19"/>
      <c r="J91" s="19"/>
    </row>
    <row r="92" customFormat="false" ht="15" hidden="false" customHeight="false" outlineLevel="0" collapsed="false">
      <c r="A92" s="23" t="str">
        <f aca="false">Dados!$B$52</f>
        <v>D</v>
      </c>
      <c r="B92" s="23"/>
      <c r="C92" s="23"/>
      <c r="D92" s="27" t="n">
        <f aca="false">Dados!$C$52</f>
        <v>0.85</v>
      </c>
      <c r="E92" s="27"/>
      <c r="F92" s="27"/>
      <c r="G92" s="19" t="str">
        <f aca="false">Dados!$D$52</f>
        <v>Entre 6,74 e 5,85</v>
      </c>
      <c r="H92" s="19"/>
      <c r="I92" s="19"/>
      <c r="J92" s="19"/>
    </row>
    <row r="93" customFormat="false" ht="15" hidden="false" customHeight="false" outlineLevel="0" collapsed="false">
      <c r="A93" s="23" t="str">
        <f aca="false">Dados!$B$51</f>
        <v>E</v>
      </c>
      <c r="B93" s="23"/>
      <c r="C93" s="23"/>
      <c r="D93" s="27" t="n">
        <f aca="false">Dados!$C$51</f>
        <v>0.8</v>
      </c>
      <c r="E93" s="27"/>
      <c r="F93" s="27"/>
      <c r="G93" s="19" t="str">
        <f aca="false">Dados!$D$51</f>
        <v>Entre 5,84 e 5,40</v>
      </c>
      <c r="H93" s="19"/>
      <c r="I93" s="19"/>
      <c r="J93" s="19"/>
    </row>
    <row r="94" customFormat="false" ht="15" hidden="false" customHeight="false" outlineLevel="0" collapsed="false">
      <c r="A94" s="23" t="str">
        <f aca="false">Dados!$B$50</f>
        <v>F</v>
      </c>
      <c r="B94" s="23"/>
      <c r="C94" s="23"/>
      <c r="D94" s="27" t="n">
        <f aca="false">Dados!$C$50</f>
        <v>0.75</v>
      </c>
      <c r="E94" s="27"/>
      <c r="F94" s="27"/>
      <c r="G94" s="19" t="str">
        <f aca="false">Dados!$D$50</f>
        <v>Abaixo de 5,40</v>
      </c>
      <c r="H94" s="19"/>
      <c r="I94" s="19"/>
      <c r="J94" s="19"/>
    </row>
    <row r="96" customFormat="false" ht="16.5" hidden="false" customHeight="true" outlineLevel="0" collapsed="false">
      <c r="A96" s="7" t="s">
        <v>266</v>
      </c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2" t="s">
        <v>267</v>
      </c>
      <c r="B97" s="72"/>
      <c r="C97" s="72"/>
      <c r="D97" s="72" t="s">
        <v>268</v>
      </c>
      <c r="E97" s="72"/>
      <c r="F97" s="72"/>
      <c r="G97" s="72" t="s">
        <v>269</v>
      </c>
      <c r="H97" s="72"/>
      <c r="I97" s="72" t="s">
        <v>270</v>
      </c>
      <c r="J97" s="72"/>
    </row>
    <row r="98" customFormat="false" ht="19.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73"/>
      <c r="J98" s="73"/>
    </row>
    <row r="99" customFormat="false" ht="18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74"/>
      <c r="J99" s="74"/>
    </row>
    <row r="100" customFormat="false" ht="15" hidden="false" customHeight="true" outlineLevel="0" collapsed="false">
      <c r="A100" s="75" t="s">
        <v>271</v>
      </c>
      <c r="B100" s="75"/>
      <c r="C100" s="75"/>
      <c r="D100" s="75" t="s">
        <v>271</v>
      </c>
      <c r="E100" s="75"/>
      <c r="F100" s="75"/>
      <c r="G100" s="75" t="s">
        <v>272</v>
      </c>
      <c r="H100" s="75"/>
      <c r="I100" s="75" t="s">
        <v>273</v>
      </c>
      <c r="J100" s="75"/>
    </row>
    <row r="102" customFormat="false" ht="16.5" hidden="false" customHeight="true" outlineLevel="0" collapsed="false">
      <c r="A102" s="7" t="s">
        <v>274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1.75" hidden="false" customHeight="true" outlineLevel="0" collapsed="false">
      <c r="A103" s="76"/>
      <c r="B103" s="76"/>
      <c r="C103" s="76"/>
      <c r="D103" s="76"/>
      <c r="E103" s="76"/>
      <c r="F103" s="76"/>
      <c r="G103" s="76"/>
      <c r="H103" s="76"/>
      <c r="I103" s="76"/>
      <c r="J103" s="76"/>
    </row>
    <row r="104" customFormat="false" ht="21.75" hidden="false" customHeight="true" outlineLevel="0" collapsed="false">
      <c r="A104" s="76"/>
      <c r="B104" s="76"/>
      <c r="C104" s="76"/>
      <c r="D104" s="76"/>
      <c r="E104" s="76"/>
      <c r="F104" s="76"/>
      <c r="G104" s="76"/>
      <c r="H104" s="76"/>
      <c r="I104" s="76"/>
      <c r="J104" s="76"/>
    </row>
    <row r="105" customFormat="false" ht="21.75" hidden="false" customHeight="true" outlineLevel="0" collapsed="false">
      <c r="A105" s="76"/>
      <c r="B105" s="76"/>
      <c r="C105" s="76"/>
      <c r="D105" s="76"/>
      <c r="E105" s="76"/>
      <c r="F105" s="76"/>
      <c r="G105" s="76"/>
      <c r="H105" s="76"/>
      <c r="I105" s="76"/>
      <c r="J105" s="76"/>
    </row>
    <row r="106" customFormat="false" ht="21.75" hidden="false" customHeight="true" outlineLevel="0" collapsed="false">
      <c r="A106" s="76"/>
      <c r="B106" s="76"/>
      <c r="C106" s="76"/>
      <c r="D106" s="76"/>
      <c r="E106" s="76"/>
      <c r="F106" s="76"/>
      <c r="G106" s="76"/>
      <c r="H106" s="76"/>
      <c r="I106" s="76"/>
      <c r="J106" s="76"/>
    </row>
    <row r="107" customFormat="false" ht="15" hidden="false" customHeight="false" outlineLevel="0" collapsed="false">
      <c r="A107" s="35" t="str">
        <f aca="false">IF(COUNTIF(C13:C27,0)+COUNTIF(C13:C27,1)&gt;0,"⚠ Existem notas 0 ou 1 nesta aba — a justificativa acima é OBRIGATÓRIA. Informe critério, nota e fundamentação.","Para cada nota 0 ou 1 informe: critério, nota atribuída e fundamentação.")</f>
        <v>Para cada nota 0 ou 1 informe: critério, nota atribuída e fundamentação.</v>
      </c>
      <c r="B107" s="35"/>
      <c r="C107" s="35"/>
      <c r="D107" s="35"/>
      <c r="E107" s="35"/>
      <c r="F107" s="35"/>
      <c r="G107" s="35"/>
      <c r="H107" s="35"/>
      <c r="I107" s="35"/>
      <c r="J107" s="35"/>
    </row>
  </sheetData>
  <mergeCells count="173">
    <mergeCell ref="A1:J1"/>
    <mergeCell ref="A2:J2"/>
    <mergeCell ref="A3:J3"/>
    <mergeCell ref="B5:D5"/>
    <mergeCell ref="E5:F5"/>
    <mergeCell ref="G5:J5"/>
    <mergeCell ref="B6:D6"/>
    <mergeCell ref="E6:F6"/>
    <mergeCell ref="G6:J6"/>
    <mergeCell ref="B7:D7"/>
    <mergeCell ref="E7:F7"/>
    <mergeCell ref="G7:J7"/>
    <mergeCell ref="A8:J8"/>
    <mergeCell ref="A10:J10"/>
    <mergeCell ref="F11:J11"/>
    <mergeCell ref="A12:J12"/>
    <mergeCell ref="F13:J13"/>
    <mergeCell ref="F14:J14"/>
    <mergeCell ref="F15:J15"/>
    <mergeCell ref="F16:J16"/>
    <mergeCell ref="A17:J17"/>
    <mergeCell ref="F18:J18"/>
    <mergeCell ref="F19:J19"/>
    <mergeCell ref="F20:J20"/>
    <mergeCell ref="F21:J21"/>
    <mergeCell ref="A22:J22"/>
    <mergeCell ref="F23:J23"/>
    <mergeCell ref="F24:J24"/>
    <mergeCell ref="F25:J25"/>
    <mergeCell ref="F26:J26"/>
    <mergeCell ref="F27:J27"/>
    <mergeCell ref="A28:C28"/>
    <mergeCell ref="G28:J28"/>
    <mergeCell ref="A30:J30"/>
    <mergeCell ref="A49:J49"/>
    <mergeCell ref="B50:E50"/>
    <mergeCell ref="F50:G50"/>
    <mergeCell ref="H50:J50"/>
    <mergeCell ref="B51:E51"/>
    <mergeCell ref="F51:G51"/>
    <mergeCell ref="H51:J51"/>
    <mergeCell ref="B52:E52"/>
    <mergeCell ref="F52:G52"/>
    <mergeCell ref="H52:J52"/>
    <mergeCell ref="B53:E53"/>
    <mergeCell ref="F53:G53"/>
    <mergeCell ref="H53:J53"/>
    <mergeCell ref="B54:E54"/>
    <mergeCell ref="F54:G54"/>
    <mergeCell ref="H54:J54"/>
    <mergeCell ref="B55:E55"/>
    <mergeCell ref="F55:G55"/>
    <mergeCell ref="H55:J55"/>
    <mergeCell ref="B56:E56"/>
    <mergeCell ref="F56:G56"/>
    <mergeCell ref="H56:J56"/>
    <mergeCell ref="B57:E57"/>
    <mergeCell ref="F57:G57"/>
    <mergeCell ref="H57:J57"/>
    <mergeCell ref="B58:E58"/>
    <mergeCell ref="F58:G58"/>
    <mergeCell ref="H58:J58"/>
    <mergeCell ref="B59:E59"/>
    <mergeCell ref="F59:G59"/>
    <mergeCell ref="H59:J59"/>
    <mergeCell ref="B60:E60"/>
    <mergeCell ref="F60:G60"/>
    <mergeCell ref="H60:J60"/>
    <mergeCell ref="B61:E61"/>
    <mergeCell ref="F61:G61"/>
    <mergeCell ref="H61:J61"/>
    <mergeCell ref="B62:E62"/>
    <mergeCell ref="F62:G62"/>
    <mergeCell ref="H62:J62"/>
    <mergeCell ref="B63:E63"/>
    <mergeCell ref="F63:G63"/>
    <mergeCell ref="H63:J63"/>
    <mergeCell ref="B64:E64"/>
    <mergeCell ref="F64:G64"/>
    <mergeCell ref="H64:J64"/>
    <mergeCell ref="B65:E65"/>
    <mergeCell ref="F65:G65"/>
    <mergeCell ref="H65:J65"/>
    <mergeCell ref="A67:J67"/>
    <mergeCell ref="A68:E68"/>
    <mergeCell ref="F68:G68"/>
    <mergeCell ref="H68:J68"/>
    <mergeCell ref="A69:E69"/>
    <mergeCell ref="F69:G69"/>
    <mergeCell ref="H69:J69"/>
    <mergeCell ref="A70:E70"/>
    <mergeCell ref="F70:G70"/>
    <mergeCell ref="H70:J70"/>
    <mergeCell ref="A71:E71"/>
    <mergeCell ref="F71:G71"/>
    <mergeCell ref="H71:J71"/>
    <mergeCell ref="A72:E72"/>
    <mergeCell ref="F72:G72"/>
    <mergeCell ref="H72:J72"/>
    <mergeCell ref="A73:E73"/>
    <mergeCell ref="F73:G73"/>
    <mergeCell ref="H73:J73"/>
    <mergeCell ref="A74:E74"/>
    <mergeCell ref="F74:G74"/>
    <mergeCell ref="H74:J74"/>
    <mergeCell ref="A75:E75"/>
    <mergeCell ref="F75:G75"/>
    <mergeCell ref="H75:J75"/>
    <mergeCell ref="A76:E76"/>
    <mergeCell ref="F76:G76"/>
    <mergeCell ref="H76:J76"/>
    <mergeCell ref="A77:E77"/>
    <mergeCell ref="F77:G77"/>
    <mergeCell ref="H77:J77"/>
    <mergeCell ref="A79:J79"/>
    <mergeCell ref="A80:E80"/>
    <mergeCell ref="F80:G80"/>
    <mergeCell ref="H80:J80"/>
    <mergeCell ref="A81:E81"/>
    <mergeCell ref="F81:G81"/>
    <mergeCell ref="H81:J81"/>
    <mergeCell ref="A82:E82"/>
    <mergeCell ref="F82:G82"/>
    <mergeCell ref="H82:J82"/>
    <mergeCell ref="A83:E83"/>
    <mergeCell ref="F83:G83"/>
    <mergeCell ref="H83:J83"/>
    <mergeCell ref="A84:E84"/>
    <mergeCell ref="F84:G84"/>
    <mergeCell ref="H84:J84"/>
    <mergeCell ref="A85:J85"/>
    <mergeCell ref="A87:J87"/>
    <mergeCell ref="A88:C88"/>
    <mergeCell ref="D88:F88"/>
    <mergeCell ref="G88:J88"/>
    <mergeCell ref="A89:C89"/>
    <mergeCell ref="D89:F89"/>
    <mergeCell ref="G89:J89"/>
    <mergeCell ref="A90:C90"/>
    <mergeCell ref="D90:F90"/>
    <mergeCell ref="G90:J90"/>
    <mergeCell ref="A91:C91"/>
    <mergeCell ref="D91:F91"/>
    <mergeCell ref="G91:J91"/>
    <mergeCell ref="A92:C92"/>
    <mergeCell ref="D92:F92"/>
    <mergeCell ref="G92:J92"/>
    <mergeCell ref="A93:C93"/>
    <mergeCell ref="D93:F93"/>
    <mergeCell ref="G93:J93"/>
    <mergeCell ref="A94:C94"/>
    <mergeCell ref="D94:F94"/>
    <mergeCell ref="G94:J94"/>
    <mergeCell ref="A96:J96"/>
    <mergeCell ref="A97:C97"/>
    <mergeCell ref="D97:F97"/>
    <mergeCell ref="G97:H97"/>
    <mergeCell ref="I97:J97"/>
    <mergeCell ref="A98:C98"/>
    <mergeCell ref="D98:F98"/>
    <mergeCell ref="G98:H98"/>
    <mergeCell ref="I98:J98"/>
    <mergeCell ref="A99:C99"/>
    <mergeCell ref="D99:F99"/>
    <mergeCell ref="G99:H99"/>
    <mergeCell ref="I99:J99"/>
    <mergeCell ref="A100:C100"/>
    <mergeCell ref="D100:F100"/>
    <mergeCell ref="G100:H100"/>
    <mergeCell ref="I100:J100"/>
    <mergeCell ref="A102:J102"/>
    <mergeCell ref="A103:J106"/>
    <mergeCell ref="A107:J107"/>
  </mergeCells>
  <conditionalFormatting sqref="A89:J94">
    <cfRule type="expression" priority="2" aboveAverage="0" equalAverage="0" bottom="0" percent="0" rank="0" text="" dxfId="1">
      <formula>$A89=$F$28</formula>
    </cfRule>
  </conditionalFormatting>
  <dataValidations count="1">
    <dataValidation allowBlank="false" error="A nota deve ser 0, 1 ou 3." errorStyle="stop" errorTitle="Nota inválida" operator="between" showDropDown="false" showErrorMessage="true" showInputMessage="false" sqref="C13:C15 C18:C20 C23:C26" type="list">
      <formula1>"0,1,3"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2026-10-21T14:05:07Z</dcterms:created>
  <dc:creator>openpyxl</dc:creator>
  <dc:description/>
  <dc:language>en-US</dc:language>
  <cp:lastModifiedBy/>
  <dcterms:modified xsi:type="dcterms:W3CDTF">2026-10-21T14:05:11Z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